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4CC8DB68-3396-4D84-84AE-3787E98D7F4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Absensi APR - GPN B " sheetId="1" r:id="rId1"/>
    <sheet name="Absensi AR Intensif" sheetId="2" r:id="rId2"/>
    <sheet name="Absensi ACR" sheetId="7" r:id="rId3"/>
    <sheet name="Pengajian Desa" sheetId="9" r:id="rId4"/>
    <sheet name="Pengajian Daerah" sheetId="10" r:id="rId5"/>
    <sheet name="Absen Generus Baru" sheetId="11" r:id="rId6"/>
  </sheets>
  <calcPr calcId="191029"/>
  <extLst>
    <ext uri="GoogleSheetsCustomDataVersion2">
      <go:sheetsCustomData xmlns:go="http://customooxmlschemas.google.com/" r:id="rId10" roundtripDataChecksum="luSmfwoRC4fttvf+I6PkxSZqAZ9FUsbGx79UdsLN9mE="/>
    </ext>
  </extLst>
</workbook>
</file>

<file path=xl/calcChain.xml><?xml version="1.0" encoding="utf-8"?>
<calcChain xmlns="http://schemas.openxmlformats.org/spreadsheetml/2006/main">
  <c r="M4" i="2" l="1"/>
  <c r="M5" i="2"/>
  <c r="M6" i="2"/>
  <c r="M7" i="2"/>
  <c r="K4" i="2"/>
  <c r="K5" i="2"/>
  <c r="K6" i="2"/>
  <c r="K7" i="2"/>
  <c r="A4" i="2"/>
  <c r="A5" i="2"/>
  <c r="A6" i="2"/>
  <c r="A7" i="2"/>
  <c r="A3" i="2"/>
  <c r="K65" i="1"/>
  <c r="J64" i="1"/>
  <c r="L64" i="1" s="1"/>
  <c r="A64" i="1"/>
  <c r="J63" i="1"/>
  <c r="L63" i="1" s="1"/>
  <c r="A63" i="1"/>
  <c r="J62" i="1"/>
  <c r="L62" i="1" s="1"/>
  <c r="A62" i="1"/>
  <c r="L61" i="1"/>
  <c r="J61" i="1"/>
  <c r="A61" i="1"/>
  <c r="L60" i="1"/>
  <c r="J60" i="1"/>
  <c r="A60" i="1"/>
  <c r="L59" i="1"/>
  <c r="J59" i="1"/>
  <c r="A59" i="1"/>
  <c r="L58" i="1"/>
  <c r="J58" i="1"/>
  <c r="A58" i="1"/>
  <c r="L57" i="1"/>
  <c r="J57" i="1"/>
  <c r="A57" i="1"/>
  <c r="J56" i="1"/>
  <c r="L56" i="1" s="1"/>
  <c r="A56" i="1"/>
  <c r="J55" i="1"/>
  <c r="L55" i="1" s="1"/>
  <c r="A55" i="1"/>
  <c r="J54" i="1"/>
  <c r="L54" i="1" s="1"/>
  <c r="A54" i="1"/>
  <c r="L53" i="1"/>
  <c r="J53" i="1"/>
  <c r="A53" i="1"/>
  <c r="L52" i="1"/>
  <c r="J52" i="1"/>
  <c r="A52" i="1"/>
  <c r="L51" i="1"/>
  <c r="J51" i="1"/>
  <c r="A51" i="1"/>
  <c r="L50" i="1"/>
  <c r="J50" i="1"/>
  <c r="A50" i="1"/>
  <c r="K48" i="1"/>
  <c r="J47" i="1"/>
  <c r="L47" i="1" s="1"/>
  <c r="A47" i="1"/>
  <c r="J46" i="1"/>
  <c r="L46" i="1" s="1"/>
  <c r="A46" i="1"/>
  <c r="J45" i="1"/>
  <c r="L45" i="1" s="1"/>
  <c r="A45" i="1"/>
  <c r="L44" i="1"/>
  <c r="J44" i="1"/>
  <c r="A44" i="1"/>
  <c r="L43" i="1"/>
  <c r="J43" i="1"/>
  <c r="A43" i="1"/>
  <c r="L42" i="1"/>
  <c r="J42" i="1"/>
  <c r="A42" i="1"/>
  <c r="L41" i="1"/>
  <c r="J41" i="1"/>
  <c r="A41" i="1"/>
  <c r="J40" i="1"/>
  <c r="L40" i="1" s="1"/>
  <c r="A40" i="1"/>
  <c r="J39" i="1"/>
  <c r="L39" i="1" s="1"/>
  <c r="A39" i="1"/>
  <c r="J38" i="1"/>
  <c r="L38" i="1" s="1"/>
  <c r="A38" i="1"/>
  <c r="J37" i="1"/>
  <c r="L37" i="1" s="1"/>
  <c r="A37" i="1"/>
  <c r="L36" i="1"/>
  <c r="J36" i="1"/>
  <c r="A36" i="1"/>
  <c r="L35" i="1"/>
  <c r="J35" i="1"/>
  <c r="A35" i="1"/>
  <c r="L34" i="1"/>
  <c r="J34" i="1"/>
  <c r="A34" i="1"/>
  <c r="L33" i="1"/>
  <c r="J33" i="1"/>
  <c r="A33" i="1"/>
  <c r="J32" i="1"/>
  <c r="L32" i="1" s="1"/>
  <c r="A32" i="1"/>
  <c r="K30" i="1"/>
  <c r="J29" i="1"/>
  <c r="L29" i="1" s="1"/>
  <c r="A29" i="1"/>
  <c r="J28" i="1"/>
  <c r="L28" i="1" s="1"/>
  <c r="A28" i="1"/>
  <c r="L27" i="1"/>
  <c r="J27" i="1"/>
  <c r="A27" i="1"/>
  <c r="L26" i="1"/>
  <c r="J26" i="1"/>
  <c r="A26" i="1"/>
  <c r="L25" i="1"/>
  <c r="J25" i="1"/>
  <c r="A25" i="1"/>
  <c r="L24" i="1"/>
  <c r="J24" i="1"/>
  <c r="A24" i="1"/>
  <c r="J23" i="1"/>
  <c r="L23" i="1" s="1"/>
  <c r="A23" i="1"/>
  <c r="J22" i="1"/>
  <c r="L22" i="1" s="1"/>
  <c r="A22" i="1"/>
  <c r="J21" i="1"/>
  <c r="L21" i="1" s="1"/>
  <c r="A21" i="1"/>
  <c r="J20" i="1"/>
  <c r="J30" i="1" s="1"/>
  <c r="A20" i="1"/>
  <c r="K18" i="1"/>
  <c r="K67" i="1" s="1"/>
  <c r="L17" i="1"/>
  <c r="J17" i="1"/>
  <c r="A17" i="1"/>
  <c r="L16" i="1"/>
  <c r="J16" i="1"/>
  <c r="A16" i="1"/>
  <c r="L15" i="1"/>
  <c r="J15" i="1"/>
  <c r="A15" i="1"/>
  <c r="J14" i="1"/>
  <c r="L14" i="1" s="1"/>
  <c r="A14" i="1"/>
  <c r="J13" i="1"/>
  <c r="L13" i="1" s="1"/>
  <c r="A13" i="1"/>
  <c r="J12" i="1"/>
  <c r="L12" i="1" s="1"/>
  <c r="A12" i="1"/>
  <c r="J11" i="1"/>
  <c r="L11" i="1" s="1"/>
  <c r="A11" i="1"/>
  <c r="L10" i="1"/>
  <c r="J10" i="1"/>
  <c r="A10" i="1"/>
  <c r="L9" i="1"/>
  <c r="J9" i="1"/>
  <c r="A9" i="1"/>
  <c r="L8" i="1"/>
  <c r="J8" i="1"/>
  <c r="A8" i="1"/>
  <c r="L7" i="1"/>
  <c r="J7" i="1"/>
  <c r="A7" i="1"/>
  <c r="J6" i="1"/>
  <c r="L6" i="1" s="1"/>
  <c r="A6" i="1"/>
  <c r="J5" i="1"/>
  <c r="L5" i="1" s="1"/>
  <c r="A5" i="1"/>
  <c r="J4" i="1"/>
  <c r="L4" i="1" s="1"/>
  <c r="A4" i="1"/>
  <c r="J3" i="1"/>
  <c r="A3" i="1"/>
  <c r="K65" i="9"/>
  <c r="J64" i="9"/>
  <c r="L64" i="9" s="1"/>
  <c r="A64" i="9"/>
  <c r="J63" i="9"/>
  <c r="L63" i="9" s="1"/>
  <c r="A63" i="9"/>
  <c r="J62" i="9"/>
  <c r="L62" i="9" s="1"/>
  <c r="A62" i="9"/>
  <c r="J61" i="9"/>
  <c r="L61" i="9" s="1"/>
  <c r="A61" i="9"/>
  <c r="J60" i="9"/>
  <c r="L60" i="9" s="1"/>
  <c r="A60" i="9"/>
  <c r="L59" i="9"/>
  <c r="J59" i="9"/>
  <c r="A59" i="9"/>
  <c r="L58" i="9"/>
  <c r="J58" i="9"/>
  <c r="A58" i="9"/>
  <c r="J57" i="9"/>
  <c r="L57" i="9" s="1"/>
  <c r="A57" i="9"/>
  <c r="J56" i="9"/>
  <c r="L56" i="9" s="1"/>
  <c r="A56" i="9"/>
  <c r="J55" i="9"/>
  <c r="L55" i="9" s="1"/>
  <c r="A55" i="9"/>
  <c r="J54" i="9"/>
  <c r="L54" i="9" s="1"/>
  <c r="A54" i="9"/>
  <c r="J53" i="9"/>
  <c r="J65" i="9" s="1"/>
  <c r="A53" i="9"/>
  <c r="J52" i="9"/>
  <c r="L52" i="9" s="1"/>
  <c r="A52" i="9"/>
  <c r="L51" i="9"/>
  <c r="J51" i="9"/>
  <c r="A51" i="9"/>
  <c r="L50" i="9"/>
  <c r="J50" i="9"/>
  <c r="A50" i="9"/>
  <c r="K48" i="9"/>
  <c r="J47" i="9"/>
  <c r="L47" i="9" s="1"/>
  <c r="A47" i="9"/>
  <c r="J46" i="9"/>
  <c r="L46" i="9" s="1"/>
  <c r="A46" i="9"/>
  <c r="J45" i="9"/>
  <c r="L45" i="9" s="1"/>
  <c r="A45" i="9"/>
  <c r="J44" i="9"/>
  <c r="L44" i="9" s="1"/>
  <c r="A44" i="9"/>
  <c r="L43" i="9"/>
  <c r="J43" i="9"/>
  <c r="A43" i="9"/>
  <c r="L42" i="9"/>
  <c r="J42" i="9"/>
  <c r="A42" i="9"/>
  <c r="L41" i="9"/>
  <c r="J41" i="9"/>
  <c r="A41" i="9"/>
  <c r="J40" i="9"/>
  <c r="L40" i="9" s="1"/>
  <c r="A40" i="9"/>
  <c r="J39" i="9"/>
  <c r="L39" i="9" s="1"/>
  <c r="A39" i="9"/>
  <c r="J38" i="9"/>
  <c r="L38" i="9" s="1"/>
  <c r="A38" i="9"/>
  <c r="J37" i="9"/>
  <c r="L37" i="9" s="1"/>
  <c r="A37" i="9"/>
  <c r="J36" i="9"/>
  <c r="J48" i="9" s="1"/>
  <c r="A36" i="9"/>
  <c r="L35" i="9"/>
  <c r="J35" i="9"/>
  <c r="A35" i="9"/>
  <c r="L34" i="9"/>
  <c r="J34" i="9"/>
  <c r="A34" i="9"/>
  <c r="L33" i="9"/>
  <c r="J33" i="9"/>
  <c r="A33" i="9"/>
  <c r="J32" i="9"/>
  <c r="L32" i="9" s="1"/>
  <c r="A32" i="9"/>
  <c r="K30" i="9"/>
  <c r="J30" i="9"/>
  <c r="J29" i="9"/>
  <c r="L29" i="9" s="1"/>
  <c r="A29" i="9"/>
  <c r="J28" i="9"/>
  <c r="L28" i="9" s="1"/>
  <c r="A28" i="9"/>
  <c r="J27" i="9"/>
  <c r="L27" i="9" s="1"/>
  <c r="A27" i="9"/>
  <c r="L26" i="9"/>
  <c r="J26" i="9"/>
  <c r="A26" i="9"/>
  <c r="L25" i="9"/>
  <c r="J25" i="9"/>
  <c r="A25" i="9"/>
  <c r="L24" i="9"/>
  <c r="J24" i="9"/>
  <c r="A24" i="9"/>
  <c r="J23" i="9"/>
  <c r="L23" i="9" s="1"/>
  <c r="A23" i="9"/>
  <c r="J22" i="9"/>
  <c r="L22" i="9" s="1"/>
  <c r="A22" i="9"/>
  <c r="J21" i="9"/>
  <c r="L21" i="9" s="1"/>
  <c r="A21" i="9"/>
  <c r="J20" i="9"/>
  <c r="L20" i="9" s="1"/>
  <c r="L30" i="9" s="1"/>
  <c r="A20" i="9"/>
  <c r="K18" i="9"/>
  <c r="K67" i="9" s="1"/>
  <c r="L17" i="9"/>
  <c r="J17" i="9"/>
  <c r="A17" i="9"/>
  <c r="L16" i="9"/>
  <c r="J16" i="9"/>
  <c r="A16" i="9"/>
  <c r="L15" i="9"/>
  <c r="J15" i="9"/>
  <c r="A15" i="9"/>
  <c r="J14" i="9"/>
  <c r="L14" i="9" s="1"/>
  <c r="A14" i="9"/>
  <c r="J13" i="9"/>
  <c r="L13" i="9" s="1"/>
  <c r="A13" i="9"/>
  <c r="J12" i="9"/>
  <c r="L12" i="9" s="1"/>
  <c r="A12" i="9"/>
  <c r="J11" i="9"/>
  <c r="L11" i="9" s="1"/>
  <c r="A11" i="9"/>
  <c r="J10" i="9"/>
  <c r="L10" i="9" s="1"/>
  <c r="A10" i="9"/>
  <c r="L9" i="9"/>
  <c r="J9" i="9"/>
  <c r="A9" i="9"/>
  <c r="L8" i="9"/>
  <c r="J8" i="9"/>
  <c r="A8" i="9"/>
  <c r="L7" i="9"/>
  <c r="J7" i="9"/>
  <c r="A7" i="9"/>
  <c r="J6" i="9"/>
  <c r="L6" i="9" s="1"/>
  <c r="A6" i="9"/>
  <c r="J5" i="9"/>
  <c r="L5" i="9" s="1"/>
  <c r="A5" i="9"/>
  <c r="J4" i="9"/>
  <c r="L4" i="9" s="1"/>
  <c r="A4" i="9"/>
  <c r="J3" i="9"/>
  <c r="J18" i="9" s="1"/>
  <c r="A3" i="9"/>
  <c r="L6" i="10"/>
  <c r="L7" i="10"/>
  <c r="L8" i="10"/>
  <c r="L9" i="10"/>
  <c r="L10" i="10"/>
  <c r="L11" i="10"/>
  <c r="L12" i="10"/>
  <c r="J6" i="10"/>
  <c r="J7" i="10"/>
  <c r="J8" i="10"/>
  <c r="J9" i="10"/>
  <c r="J10" i="10"/>
  <c r="J11" i="10"/>
  <c r="J12" i="10"/>
  <c r="A6" i="10"/>
  <c r="A7" i="10"/>
  <c r="A8" i="10"/>
  <c r="A9" i="10"/>
  <c r="A10" i="10"/>
  <c r="A11" i="10"/>
  <c r="A12" i="10"/>
  <c r="M6" i="7"/>
  <c r="M7" i="7"/>
  <c r="M8" i="7"/>
  <c r="K6" i="7"/>
  <c r="K7" i="7"/>
  <c r="K8" i="7"/>
  <c r="A6" i="7"/>
  <c r="A7" i="7"/>
  <c r="A8" i="7"/>
  <c r="J4" i="10"/>
  <c r="L4" i="10" s="1"/>
  <c r="J5" i="10"/>
  <c r="L5" i="10" s="1"/>
  <c r="J13" i="10"/>
  <c r="L13" i="10" s="1"/>
  <c r="J14" i="10"/>
  <c r="L14" i="10" s="1"/>
  <c r="J15" i="10"/>
  <c r="L15" i="10" s="1"/>
  <c r="J16" i="10"/>
  <c r="L16" i="10" s="1"/>
  <c r="J21" i="10"/>
  <c r="L21" i="10" s="1"/>
  <c r="J22" i="10"/>
  <c r="L22" i="10" s="1"/>
  <c r="J23" i="10"/>
  <c r="L23" i="10" s="1"/>
  <c r="J24" i="10"/>
  <c r="L24" i="10" s="1"/>
  <c r="J25" i="10"/>
  <c r="L25" i="10" s="1"/>
  <c r="J26" i="10"/>
  <c r="L26" i="10" s="1"/>
  <c r="J27" i="10"/>
  <c r="L27" i="10" s="1"/>
  <c r="J28" i="10"/>
  <c r="L28" i="10" s="1"/>
  <c r="J29" i="10"/>
  <c r="L29" i="10" s="1"/>
  <c r="J42" i="10"/>
  <c r="L42" i="10" s="1"/>
  <c r="J43" i="10"/>
  <c r="L43" i="10" s="1"/>
  <c r="J44" i="10"/>
  <c r="L44" i="10" s="1"/>
  <c r="J57" i="10"/>
  <c r="L57" i="10" s="1"/>
  <c r="J58" i="10"/>
  <c r="L58" i="10" s="1"/>
  <c r="J59" i="10"/>
  <c r="L59" i="10" s="1"/>
  <c r="J60" i="10"/>
  <c r="L60" i="10" s="1"/>
  <c r="J61" i="10"/>
  <c r="L61" i="10" s="1"/>
  <c r="J62" i="10"/>
  <c r="L62" i="10" s="1"/>
  <c r="J63" i="10"/>
  <c r="L63" i="10" s="1"/>
  <c r="J64" i="10"/>
  <c r="L64" i="10" s="1"/>
  <c r="A57" i="10"/>
  <c r="A58" i="10"/>
  <c r="A59" i="10"/>
  <c r="A60" i="10"/>
  <c r="A61" i="10"/>
  <c r="A62" i="10"/>
  <c r="A63" i="10"/>
  <c r="A64" i="10"/>
  <c r="A42" i="10"/>
  <c r="A43" i="10"/>
  <c r="A44" i="10"/>
  <c r="A45" i="10"/>
  <c r="A46" i="10"/>
  <c r="A47" i="10"/>
  <c r="A21" i="10"/>
  <c r="A22" i="10"/>
  <c r="A23" i="10"/>
  <c r="A24" i="10"/>
  <c r="A25" i="10"/>
  <c r="A26" i="10"/>
  <c r="A27" i="10"/>
  <c r="A28" i="10"/>
  <c r="A29" i="10"/>
  <c r="A4" i="10"/>
  <c r="A5" i="10"/>
  <c r="A13" i="10"/>
  <c r="A14" i="10"/>
  <c r="A15" i="10"/>
  <c r="A16" i="10"/>
  <c r="A17" i="10"/>
  <c r="A3" i="10"/>
  <c r="N4" i="11"/>
  <c r="N5" i="11"/>
  <c r="N6" i="11"/>
  <c r="L4" i="11"/>
  <c r="L5" i="11"/>
  <c r="L6" i="11"/>
  <c r="A4" i="11"/>
  <c r="A5" i="11"/>
  <c r="A6" i="11"/>
  <c r="A7" i="11"/>
  <c r="A8" i="11"/>
  <c r="A9" i="11"/>
  <c r="A10" i="11"/>
  <c r="A3" i="11"/>
  <c r="K65" i="10"/>
  <c r="J56" i="10"/>
  <c r="L56" i="10" s="1"/>
  <c r="A56" i="10"/>
  <c r="J55" i="10"/>
  <c r="L55" i="10" s="1"/>
  <c r="A55" i="10"/>
  <c r="J54" i="10"/>
  <c r="L54" i="10" s="1"/>
  <c r="A54" i="10"/>
  <c r="J53" i="10"/>
  <c r="L53" i="10" s="1"/>
  <c r="A53" i="10"/>
  <c r="J52" i="10"/>
  <c r="L52" i="10" s="1"/>
  <c r="A52" i="10"/>
  <c r="J51" i="10"/>
  <c r="L51" i="10" s="1"/>
  <c r="A51" i="10"/>
  <c r="J50" i="10"/>
  <c r="A50" i="10"/>
  <c r="K48" i="10"/>
  <c r="J47" i="10"/>
  <c r="L47" i="10" s="1"/>
  <c r="J46" i="10"/>
  <c r="L46" i="10" s="1"/>
  <c r="J45" i="10"/>
  <c r="L45" i="10" s="1"/>
  <c r="J41" i="10"/>
  <c r="L41" i="10" s="1"/>
  <c r="A41" i="10"/>
  <c r="J40" i="10"/>
  <c r="L40" i="10" s="1"/>
  <c r="A40" i="10"/>
  <c r="J39" i="10"/>
  <c r="L39" i="10" s="1"/>
  <c r="A39" i="10"/>
  <c r="J38" i="10"/>
  <c r="L38" i="10" s="1"/>
  <c r="A38" i="10"/>
  <c r="J37" i="10"/>
  <c r="L37" i="10" s="1"/>
  <c r="A37" i="10"/>
  <c r="J36" i="10"/>
  <c r="L36" i="10" s="1"/>
  <c r="A36" i="10"/>
  <c r="J35" i="10"/>
  <c r="L35" i="10" s="1"/>
  <c r="A35" i="10"/>
  <c r="J34" i="10"/>
  <c r="L34" i="10" s="1"/>
  <c r="A34" i="10"/>
  <c r="J33" i="10"/>
  <c r="L33" i="10" s="1"/>
  <c r="A33" i="10"/>
  <c r="J32" i="10"/>
  <c r="A32" i="10"/>
  <c r="K30" i="10"/>
  <c r="J20" i="10"/>
  <c r="A20" i="10"/>
  <c r="K18" i="10"/>
  <c r="J17" i="10"/>
  <c r="L17" i="10" s="1"/>
  <c r="J3" i="10"/>
  <c r="M11" i="11"/>
  <c r="L10" i="11"/>
  <c r="N10" i="11" s="1"/>
  <c r="L9" i="11"/>
  <c r="N9" i="11" s="1"/>
  <c r="L8" i="11"/>
  <c r="N8" i="11" s="1"/>
  <c r="L7" i="11"/>
  <c r="N7" i="11" s="1"/>
  <c r="L3" i="11"/>
  <c r="N3" i="11" s="1"/>
  <c r="K10" i="7"/>
  <c r="M10" i="7" s="1"/>
  <c r="A10" i="7"/>
  <c r="L12" i="7"/>
  <c r="K11" i="7"/>
  <c r="M11" i="7" s="1"/>
  <c r="A11" i="7"/>
  <c r="K9" i="7"/>
  <c r="M9" i="7" s="1"/>
  <c r="A9" i="7"/>
  <c r="K5" i="7"/>
  <c r="M5" i="7" s="1"/>
  <c r="A5" i="7"/>
  <c r="K4" i="7"/>
  <c r="M4" i="7" s="1"/>
  <c r="A4" i="7"/>
  <c r="K3" i="7"/>
  <c r="A3" i="7"/>
  <c r="L12" i="2"/>
  <c r="K11" i="2"/>
  <c r="M11" i="2" s="1"/>
  <c r="A11" i="2"/>
  <c r="K10" i="2"/>
  <c r="M10" i="2" s="1"/>
  <c r="A10" i="2"/>
  <c r="K9" i="2"/>
  <c r="M9" i="2" s="1"/>
  <c r="A9" i="2"/>
  <c r="K8" i="2"/>
  <c r="M8" i="2" s="1"/>
  <c r="A8" i="2"/>
  <c r="K3" i="2"/>
  <c r="K12" i="2" l="1"/>
  <c r="J18" i="1"/>
  <c r="J67" i="1" s="1"/>
  <c r="L48" i="1"/>
  <c r="L65" i="1"/>
  <c r="J48" i="1"/>
  <c r="J65" i="1"/>
  <c r="L3" i="1"/>
  <c r="L18" i="1" s="1"/>
  <c r="L20" i="1"/>
  <c r="L30" i="1" s="1"/>
  <c r="L65" i="9"/>
  <c r="J67" i="9"/>
  <c r="L48" i="9"/>
  <c r="L36" i="9"/>
  <c r="L53" i="9"/>
  <c r="L3" i="9"/>
  <c r="L18" i="9" s="1"/>
  <c r="J30" i="10"/>
  <c r="J18" i="10"/>
  <c r="J48" i="10"/>
  <c r="L3" i="10"/>
  <c r="L18" i="10" s="1"/>
  <c r="J65" i="10"/>
  <c r="L20" i="10"/>
  <c r="L30" i="10" s="1"/>
  <c r="L50" i="10"/>
  <c r="L65" i="10" s="1"/>
  <c r="K67" i="10"/>
  <c r="L11" i="11"/>
  <c r="N11" i="11"/>
  <c r="L32" i="10"/>
  <c r="L48" i="10" s="1"/>
  <c r="K12" i="7"/>
  <c r="M12" i="7"/>
  <c r="M3" i="7"/>
  <c r="M12" i="2"/>
  <c r="M3" i="2"/>
  <c r="L67" i="1" l="1"/>
  <c r="L67" i="9"/>
  <c r="J67" i="10"/>
  <c r="L67" i="10"/>
</calcChain>
</file>

<file path=xl/sharedStrings.xml><?xml version="1.0" encoding="utf-8"?>
<sst xmlns="http://schemas.openxmlformats.org/spreadsheetml/2006/main" count="244" uniqueCount="28">
  <si>
    <t>No</t>
  </si>
  <si>
    <t>Nama Lengkap</t>
  </si>
  <si>
    <t>Akumulasi Kehadiran</t>
  </si>
  <si>
    <t>Akumulasi Hadir</t>
  </si>
  <si>
    <t>Tanggal Hadir</t>
  </si>
  <si>
    <t>Jumlah Pertemuan</t>
  </si>
  <si>
    <t>Presentase</t>
  </si>
  <si>
    <t>Kategori</t>
  </si>
  <si>
    <t>APR</t>
  </si>
  <si>
    <t xml:space="preserve"> Total</t>
  </si>
  <si>
    <t>AR</t>
  </si>
  <si>
    <t>Total Akumulasi Hadir &amp; Presentase</t>
  </si>
  <si>
    <t>GPNA</t>
  </si>
  <si>
    <t>Total</t>
  </si>
  <si>
    <t>GPNB</t>
  </si>
  <si>
    <t>Total Akumulasi Kehadiran &amp; Presentase</t>
  </si>
  <si>
    <t xml:space="preserve">Tanggal </t>
  </si>
  <si>
    <t>Tanggal Absen</t>
  </si>
  <si>
    <t xml:space="preserve">IZIN </t>
  </si>
  <si>
    <t>ALPHA</t>
  </si>
  <si>
    <t xml:space="preserve">HADIR </t>
  </si>
  <si>
    <t>MAY</t>
  </si>
  <si>
    <t>JUN</t>
  </si>
  <si>
    <t>JUL</t>
  </si>
  <si>
    <t>AUG</t>
  </si>
  <si>
    <t>SEP</t>
  </si>
  <si>
    <t>OCT</t>
  </si>
  <si>
    <t>NOV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</si>
</sst>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scheme val="minor"/>
    </font>
    <font>
      <sz val="12"/>
      <color theme="1"/>
      <name val="Calibri"/>
    </font>
    <font>
      <sz val="11"/>
      <color theme="1"/>
      <name val="Calibri"/>
    </font>
    <font>
      <sz val="11"/>
      <name val="Calibri"/>
    </font>
    <font>
      <b/>
      <sz val="11"/>
      <color theme="1"/>
      <name val="Calibri"/>
    </font>
    <font>
      <sz val="8"/>
      <name val="Calibri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A8D08D"/>
        <bgColor rgb="FFA8D08D"/>
      </patternFill>
    </fill>
    <fill>
      <patternFill patternType="solid">
        <fgColor rgb="FF8EAADB"/>
        <bgColor rgb="FF8EAADB"/>
      </patternFill>
    </fill>
    <fill>
      <patternFill patternType="solid">
        <fgColor theme="0"/>
        <bgColor rgb="FFF7CAA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5E0B3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rgb="FFFF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4B083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0" borderId="5" xfId="0" applyFont="1" applyBorder="1" applyAlignment="1">
      <alignment horizontal="center"/>
    </xf>
    <xf numFmtId="15" fontId="1" fillId="0" borderId="5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49" fontId="1" fillId="0" borderId="5" xfId="0" applyNumberFormat="1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15" fontId="1" fillId="2" borderId="5" xfId="0" applyNumberFormat="1" applyFont="1" applyFill="1" applyBorder="1" applyAlignment="1">
      <alignment horizontal="center" vertical="center"/>
    </xf>
    <xf numFmtId="1" fontId="1" fillId="0" borderId="5" xfId="0" applyNumberFormat="1" applyFont="1" applyBorder="1" applyAlignment="1">
      <alignment horizontal="center" vertical="center"/>
    </xf>
    <xf numFmtId="9" fontId="1" fillId="0" borderId="5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left"/>
    </xf>
    <xf numFmtId="0" fontId="1" fillId="0" borderId="2" xfId="0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2" fillId="0" borderId="5" xfId="0" applyFont="1" applyBorder="1"/>
    <xf numFmtId="0" fontId="1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center" vertical="center"/>
    </xf>
    <xf numFmtId="0" fontId="1" fillId="6" borderId="5" xfId="0" applyFont="1" applyFill="1" applyBorder="1" applyAlignment="1">
      <alignment horizontal="left" vertical="center"/>
    </xf>
    <xf numFmtId="0" fontId="1" fillId="7" borderId="5" xfId="0" applyFont="1" applyFill="1" applyBorder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15" fontId="1" fillId="7" borderId="5" xfId="0" applyNumberFormat="1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left"/>
    </xf>
    <xf numFmtId="49" fontId="1" fillId="7" borderId="5" xfId="0" applyNumberFormat="1" applyFont="1" applyFill="1" applyBorder="1" applyAlignment="1">
      <alignment horizontal="left" vertical="center"/>
    </xf>
    <xf numFmtId="15" fontId="1" fillId="9" borderId="5" xfId="0" applyNumberFormat="1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11" borderId="13" xfId="0" applyFont="1" applyFill="1" applyBorder="1"/>
    <xf numFmtId="15" fontId="1" fillId="12" borderId="5" xfId="0" applyNumberFormat="1" applyFont="1" applyFill="1" applyBorder="1" applyAlignment="1">
      <alignment horizontal="center" vertical="center"/>
    </xf>
    <xf numFmtId="15" fontId="1" fillId="15" borderId="5" xfId="0" applyNumberFormat="1" applyFont="1" applyFill="1" applyBorder="1" applyAlignment="1">
      <alignment horizontal="center" vertical="center"/>
    </xf>
    <xf numFmtId="0" fontId="2" fillId="15" borderId="5" xfId="0" applyFont="1" applyFill="1" applyBorder="1" applyAlignment="1">
      <alignment horizontal="center" vertical="center"/>
    </xf>
    <xf numFmtId="1" fontId="1" fillId="15" borderId="5" xfId="0" applyNumberFormat="1" applyFont="1" applyFill="1" applyBorder="1" applyAlignment="1">
      <alignment horizontal="center" vertical="center"/>
    </xf>
    <xf numFmtId="9" fontId="1" fillId="15" borderId="5" xfId="0" applyNumberFormat="1" applyFont="1" applyFill="1" applyBorder="1" applyAlignment="1">
      <alignment horizontal="center" vertical="center"/>
    </xf>
    <xf numFmtId="0" fontId="0" fillId="9" borderId="0" xfId="0" applyFill="1"/>
    <xf numFmtId="0" fontId="0" fillId="16" borderId="0" xfId="0" applyFill="1"/>
    <xf numFmtId="0" fontId="0" fillId="17" borderId="0" xfId="0" applyFill="1"/>
    <xf numFmtId="14" fontId="1" fillId="18" borderId="5" xfId="0" applyNumberFormat="1" applyFont="1" applyFill="1" applyBorder="1" applyAlignment="1">
      <alignment horizontal="center" vertical="center"/>
    </xf>
    <xf numFmtId="15" fontId="1" fillId="18" borderId="5" xfId="0" applyNumberFormat="1" applyFont="1" applyFill="1" applyBorder="1" applyAlignment="1">
      <alignment horizontal="center" vertical="center"/>
    </xf>
    <xf numFmtId="0" fontId="2" fillId="18" borderId="5" xfId="0" applyFont="1" applyFill="1" applyBorder="1" applyAlignment="1">
      <alignment horizontal="center" vertical="center"/>
    </xf>
    <xf numFmtId="1" fontId="1" fillId="18" borderId="5" xfId="0" applyNumberFormat="1" applyFont="1" applyFill="1" applyBorder="1" applyAlignment="1">
      <alignment horizontal="center" vertical="center"/>
    </xf>
    <xf numFmtId="9" fontId="1" fillId="18" borderId="5" xfId="0" applyNumberFormat="1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49" fontId="1" fillId="0" borderId="6" xfId="0" applyNumberFormat="1" applyFont="1" applyBorder="1" applyAlignment="1">
      <alignment horizontal="left" vertical="center"/>
    </xf>
    <xf numFmtId="0" fontId="1" fillId="0" borderId="6" xfId="0" applyFont="1" applyBorder="1" applyAlignment="1">
      <alignment horizontal="center" vertical="center"/>
    </xf>
    <xf numFmtId="14" fontId="1" fillId="12" borderId="4" xfId="0" applyNumberFormat="1" applyFont="1" applyFill="1" applyBorder="1" applyAlignment="1">
      <alignment horizontal="center" vertical="center"/>
    </xf>
    <xf numFmtId="14" fontId="1" fillId="9" borderId="5" xfId="0" applyNumberFormat="1" applyFont="1" applyFill="1" applyBorder="1" applyAlignment="1">
      <alignment horizontal="center" vertical="center"/>
    </xf>
    <xf numFmtId="14" fontId="1" fillId="15" borderId="5" xfId="0" applyNumberFormat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3" fillId="18" borderId="3" xfId="0" applyFont="1" applyFill="1" applyBorder="1"/>
    <xf numFmtId="0" fontId="3" fillId="18" borderId="4" xfId="0" applyFont="1" applyFill="1" applyBorder="1"/>
    <xf numFmtId="0" fontId="1" fillId="0" borderId="7" xfId="0" applyFont="1" applyBorder="1" applyAlignment="1">
      <alignment horizontal="center" vertical="center"/>
    </xf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3" fillId="0" borderId="6" xfId="0" applyFont="1" applyBorder="1"/>
    <xf numFmtId="9" fontId="4" fillId="0" borderId="1" xfId="0" applyNumberFormat="1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3" fillId="14" borderId="6" xfId="0" applyFont="1" applyFill="1" applyBorder="1"/>
    <xf numFmtId="0" fontId="4" fillId="3" borderId="1" xfId="0" applyFont="1" applyFill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/>
    </xf>
    <xf numFmtId="0" fontId="3" fillId="12" borderId="3" xfId="0" applyFont="1" applyFill="1" applyBorder="1"/>
    <xf numFmtId="0" fontId="3" fillId="12" borderId="4" xfId="0" applyFont="1" applyFill="1" applyBorder="1"/>
    <xf numFmtId="0" fontId="1" fillId="12" borderId="1" xfId="0" applyFont="1" applyFill="1" applyBorder="1" applyAlignment="1">
      <alignment horizontal="center" vertical="center" wrapText="1"/>
    </xf>
    <xf numFmtId="0" fontId="3" fillId="12" borderId="6" xfId="0" applyFont="1" applyFill="1" applyBorder="1"/>
    <xf numFmtId="0" fontId="1" fillId="12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/>
    </xf>
    <xf numFmtId="0" fontId="3" fillId="9" borderId="6" xfId="0" applyFont="1" applyFill="1" applyBorder="1"/>
    <xf numFmtId="0" fontId="1" fillId="10" borderId="2" xfId="0" applyFont="1" applyFill="1" applyBorder="1" applyAlignment="1">
      <alignment horizontal="center" vertical="center"/>
    </xf>
    <xf numFmtId="0" fontId="3" fillId="10" borderId="3" xfId="0" applyFont="1" applyFill="1" applyBorder="1"/>
    <xf numFmtId="0" fontId="3" fillId="10" borderId="4" xfId="0" applyFont="1" applyFill="1" applyBorder="1"/>
    <xf numFmtId="14" fontId="1" fillId="9" borderId="2" xfId="0" applyNumberFormat="1" applyFont="1" applyFill="1" applyBorder="1" applyAlignment="1">
      <alignment horizontal="center" vertical="center"/>
    </xf>
    <xf numFmtId="0" fontId="3" fillId="9" borderId="3" xfId="0" applyFont="1" applyFill="1" applyBorder="1"/>
    <xf numFmtId="0" fontId="3" fillId="9" borderId="4" xfId="0" applyFont="1" applyFill="1" applyBorder="1"/>
    <xf numFmtId="0" fontId="1" fillId="9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6" xfId="0" applyFont="1" applyFill="1" applyBorder="1" applyAlignment="1">
      <alignment vertical="center"/>
    </xf>
    <xf numFmtId="0" fontId="1" fillId="18" borderId="1" xfId="0" applyFont="1" applyFill="1" applyBorder="1" applyAlignment="1">
      <alignment horizontal="center" vertical="center"/>
    </xf>
    <xf numFmtId="0" fontId="3" fillId="18" borderId="6" xfId="0" applyFont="1" applyFill="1" applyBorder="1"/>
    <xf numFmtId="14" fontId="1" fillId="18" borderId="2" xfId="0" applyNumberFormat="1" applyFont="1" applyFill="1" applyBorder="1" applyAlignment="1">
      <alignment horizontal="center" vertical="center"/>
    </xf>
    <xf numFmtId="0" fontId="1" fillId="13" borderId="3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0" fontId="1" fillId="12" borderId="16" xfId="0" applyFont="1" applyFill="1" applyBorder="1" applyAlignment="1">
      <alignment horizontal="center" vertical="center"/>
    </xf>
    <xf numFmtId="0" fontId="1" fillId="12" borderId="17" xfId="0" applyFont="1" applyFill="1" applyBorder="1" applyAlignment="1">
      <alignment horizontal="center" vertical="center"/>
    </xf>
    <xf numFmtId="0" fontId="1" fillId="15" borderId="2" xfId="0" applyFont="1" applyFill="1" applyBorder="1" applyAlignment="1">
      <alignment horizontal="center" vertical="center"/>
    </xf>
    <xf numFmtId="0" fontId="1" fillId="15" borderId="3" xfId="0" applyFont="1" applyFill="1" applyBorder="1" applyAlignment="1">
      <alignment horizontal="center" vertical="center"/>
    </xf>
    <xf numFmtId="0" fontId="1" fillId="15" borderId="4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wrapText="1"/>
    </xf>
    <xf numFmtId="0" fontId="3" fillId="15" borderId="6" xfId="0" applyFont="1" applyFill="1" applyBorder="1"/>
    <xf numFmtId="0" fontId="1" fillId="15" borderId="1" xfId="0" applyFont="1" applyFill="1" applyBorder="1" applyAlignment="1">
      <alignment horizontal="center" vertical="center"/>
    </xf>
    <xf numFmtId="14" fontId="1" fillId="15" borderId="2" xfId="0" applyNumberFormat="1" applyFont="1" applyFill="1" applyBorder="1" applyAlignment="1">
      <alignment horizontal="center" vertical="center"/>
    </xf>
    <xf numFmtId="0" fontId="3" fillId="15" borderId="3" xfId="0" applyFont="1" applyFill="1" applyBorder="1"/>
    <xf numFmtId="0" fontId="3" fillId="15" borderId="4" xfId="0" applyFont="1" applyFill="1" applyBorder="1"/>
    <xf numFmtId="0" fontId="1" fillId="15" borderId="1" xfId="0" applyFont="1" applyFill="1" applyBorder="1" applyAlignment="1">
      <alignment horizontal="center" vertical="center" wrapText="1"/>
    </xf>
    <xf numFmtId="0" fontId="0" fillId="15" borderId="14" xfId="0" applyFill="1" applyBorder="1" applyAlignment="1">
      <alignment horizontal="center" vertical="center"/>
    </xf>
    <xf numFmtId="0" fontId="0" fillId="15" borderId="6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24"/>
  <sheetViews>
    <sheetView tabSelected="1" workbookViewId="0">
      <selection activeCell="D12" sqref="D12"/>
    </sheetView>
  </sheetViews>
  <sheetFormatPr defaultColWidth="14.453125" defaultRowHeight="15" customHeight="1"/>
  <cols>
    <col min="1" max="1" width="8.81640625" customWidth="1"/>
    <col min="2" max="2" width="42.453125" customWidth="1"/>
    <col min="3" max="3" width="24.453125" customWidth="1"/>
    <col min="4" max="12" width="20.7265625" customWidth="1"/>
    <col min="13" max="26" width="8.81640625" customWidth="1"/>
  </cols>
  <sheetData>
    <row r="1" spans="1:12" ht="15.75" customHeight="1">
      <c r="A1" s="84" t="s">
        <v>0</v>
      </c>
      <c r="B1" s="84" t="s">
        <v>1</v>
      </c>
      <c r="C1" s="85" t="s">
        <v>7</v>
      </c>
      <c r="D1" s="83" t="s">
        <v>4</v>
      </c>
      <c r="E1" s="62"/>
      <c r="F1" s="62"/>
      <c r="G1" s="62"/>
      <c r="H1" s="62"/>
      <c r="I1" s="63"/>
      <c r="J1" s="64" t="s">
        <v>2</v>
      </c>
      <c r="K1" s="64" t="s">
        <v>5</v>
      </c>
      <c r="L1" s="66" t="s">
        <v>6</v>
      </c>
    </row>
    <row r="2" spans="1:12" ht="15.75" customHeight="1">
      <c r="A2" s="84"/>
      <c r="B2" s="84"/>
      <c r="C2" s="86"/>
      <c r="D2" s="41">
        <v>46234</v>
      </c>
      <c r="E2" s="25"/>
      <c r="F2" s="25"/>
      <c r="G2" s="25"/>
      <c r="H2" s="25"/>
      <c r="I2" s="25"/>
      <c r="J2" s="65"/>
      <c r="K2" s="65"/>
      <c r="L2" s="65"/>
    </row>
    <row r="3" spans="1:12" ht="15.75" customHeight="1">
      <c r="A3" s="38">
        <f>ROW()-ROW($A$2)</f>
        <v>1</v>
      </c>
      <c r="B3" s="39"/>
      <c r="C3" s="40" t="s">
        <v>8</v>
      </c>
      <c r="D3" s="7"/>
      <c r="E3" s="2"/>
      <c r="F3" s="2"/>
      <c r="G3" s="2"/>
      <c r="H3" s="2"/>
      <c r="I3" s="2"/>
      <c r="J3" s="6">
        <f t="shared" ref="J3:J17" si="0">COUNTA(D3:I3)</f>
        <v>0</v>
      </c>
      <c r="K3" s="3">
        <v>4</v>
      </c>
      <c r="L3" s="9">
        <f t="shared" ref="L3:L17" si="1">J3/K3</f>
        <v>0</v>
      </c>
    </row>
    <row r="4" spans="1:12" ht="15.75" customHeight="1">
      <c r="A4" s="38">
        <f t="shared" ref="A4:A17" si="2">ROW()-ROW($A$2)</f>
        <v>2</v>
      </c>
      <c r="B4" s="39"/>
      <c r="C4" s="40" t="s">
        <v>8</v>
      </c>
      <c r="D4" s="7"/>
      <c r="E4" s="2"/>
      <c r="F4" s="2"/>
      <c r="G4" s="2"/>
      <c r="H4" s="2"/>
      <c r="I4" s="2"/>
      <c r="J4" s="6">
        <f t="shared" si="0"/>
        <v>0</v>
      </c>
      <c r="K4" s="3">
        <v>4</v>
      </c>
      <c r="L4" s="9">
        <f t="shared" si="1"/>
        <v>0</v>
      </c>
    </row>
    <row r="5" spans="1:12" ht="15.75" customHeight="1">
      <c r="A5" s="38">
        <f t="shared" si="2"/>
        <v>3</v>
      </c>
      <c r="B5" s="39"/>
      <c r="C5" s="40" t="s">
        <v>8</v>
      </c>
      <c r="D5" s="7"/>
      <c r="E5" s="2"/>
      <c r="F5" s="2"/>
      <c r="G5" s="2"/>
      <c r="H5" s="2"/>
      <c r="I5" s="2"/>
      <c r="J5" s="6">
        <f t="shared" si="0"/>
        <v>0</v>
      </c>
      <c r="K5" s="3">
        <v>4</v>
      </c>
      <c r="L5" s="9">
        <f t="shared" si="1"/>
        <v>0</v>
      </c>
    </row>
    <row r="6" spans="1:12" ht="15.75" customHeight="1">
      <c r="A6" s="38">
        <f t="shared" si="2"/>
        <v>4</v>
      </c>
      <c r="B6" s="39"/>
      <c r="C6" s="40" t="s">
        <v>8</v>
      </c>
      <c r="D6" s="7"/>
      <c r="E6" s="2"/>
      <c r="F6" s="2"/>
      <c r="G6" s="2"/>
      <c r="H6" s="2"/>
      <c r="I6" s="2"/>
      <c r="J6" s="6">
        <f t="shared" si="0"/>
        <v>0</v>
      </c>
      <c r="K6" s="3">
        <v>4</v>
      </c>
      <c r="L6" s="9">
        <f t="shared" si="1"/>
        <v>0</v>
      </c>
    </row>
    <row r="7" spans="1:12" ht="15.75" customHeight="1">
      <c r="A7" s="38">
        <f t="shared" si="2"/>
        <v>5</v>
      </c>
      <c r="B7" s="39"/>
      <c r="C7" s="40" t="s">
        <v>8</v>
      </c>
      <c r="D7" s="7"/>
      <c r="E7" s="2"/>
      <c r="F7" s="2"/>
      <c r="G7" s="2"/>
      <c r="H7" s="2"/>
      <c r="I7" s="2"/>
      <c r="J7" s="6">
        <f t="shared" si="0"/>
        <v>0</v>
      </c>
      <c r="K7" s="3">
        <v>4</v>
      </c>
      <c r="L7" s="9">
        <f t="shared" si="1"/>
        <v>0</v>
      </c>
    </row>
    <row r="8" spans="1:12" ht="15.75" customHeight="1">
      <c r="A8" s="38">
        <f t="shared" si="2"/>
        <v>6</v>
      </c>
      <c r="B8" s="39"/>
      <c r="C8" s="40" t="s">
        <v>8</v>
      </c>
      <c r="D8" s="7"/>
      <c r="E8" s="2"/>
      <c r="F8" s="2"/>
      <c r="G8" s="2"/>
      <c r="H8" s="2"/>
      <c r="I8" s="2"/>
      <c r="J8" s="6">
        <f t="shared" si="0"/>
        <v>0</v>
      </c>
      <c r="K8" s="3">
        <v>4</v>
      </c>
      <c r="L8" s="9">
        <f t="shared" si="1"/>
        <v>0</v>
      </c>
    </row>
    <row r="9" spans="1:12" ht="15.75" customHeight="1">
      <c r="A9" s="38">
        <f t="shared" si="2"/>
        <v>7</v>
      </c>
      <c r="B9" s="39"/>
      <c r="C9" s="5" t="s">
        <v>8</v>
      </c>
      <c r="D9" s="7"/>
      <c r="E9" s="2"/>
      <c r="F9" s="2"/>
      <c r="G9" s="2"/>
      <c r="H9" s="2"/>
      <c r="I9" s="2"/>
      <c r="J9" s="6">
        <f t="shared" si="0"/>
        <v>0</v>
      </c>
      <c r="K9" s="3">
        <v>4</v>
      </c>
      <c r="L9" s="9">
        <f t="shared" si="1"/>
        <v>0</v>
      </c>
    </row>
    <row r="10" spans="1:12" ht="15.75" customHeight="1">
      <c r="A10" s="38">
        <f t="shared" si="2"/>
        <v>8</v>
      </c>
      <c r="B10" s="39"/>
      <c r="C10" s="5" t="s">
        <v>8</v>
      </c>
      <c r="D10" s="7"/>
      <c r="E10" s="2"/>
      <c r="F10" s="2"/>
      <c r="G10" s="2"/>
      <c r="H10" s="2"/>
      <c r="I10" s="2"/>
      <c r="J10" s="6">
        <f t="shared" si="0"/>
        <v>0</v>
      </c>
      <c r="K10" s="3">
        <v>4</v>
      </c>
      <c r="L10" s="9">
        <f t="shared" si="1"/>
        <v>0</v>
      </c>
    </row>
    <row r="11" spans="1:12" ht="15.75" customHeight="1">
      <c r="A11" s="38">
        <f t="shared" si="2"/>
        <v>9</v>
      </c>
      <c r="B11" s="39"/>
      <c r="C11" s="40" t="s">
        <v>8</v>
      </c>
      <c r="D11" s="7"/>
      <c r="E11" s="2"/>
      <c r="F11" s="2"/>
      <c r="G11" s="2"/>
      <c r="H11" s="2"/>
      <c r="I11" s="2"/>
      <c r="J11" s="6">
        <f t="shared" si="0"/>
        <v>0</v>
      </c>
      <c r="K11" s="3">
        <v>4</v>
      </c>
      <c r="L11" s="9">
        <f t="shared" si="1"/>
        <v>0</v>
      </c>
    </row>
    <row r="12" spans="1:12" ht="15.75" customHeight="1">
      <c r="A12" s="38">
        <f t="shared" si="2"/>
        <v>10</v>
      </c>
      <c r="B12" s="39"/>
      <c r="C12" s="40" t="s">
        <v>8</v>
      </c>
      <c r="D12" s="7"/>
      <c r="E12" s="2"/>
      <c r="F12" s="2"/>
      <c r="G12" s="2"/>
      <c r="H12" s="2"/>
      <c r="I12" s="2"/>
      <c r="J12" s="6">
        <f t="shared" si="0"/>
        <v>0</v>
      </c>
      <c r="K12" s="3">
        <v>4</v>
      </c>
      <c r="L12" s="9">
        <f t="shared" si="1"/>
        <v>0</v>
      </c>
    </row>
    <row r="13" spans="1:12" ht="15.75" customHeight="1">
      <c r="A13" s="38">
        <f t="shared" si="2"/>
        <v>11</v>
      </c>
      <c r="B13" s="39"/>
      <c r="C13" s="40" t="s">
        <v>8</v>
      </c>
      <c r="D13" s="7"/>
      <c r="E13" s="2"/>
      <c r="F13" s="2"/>
      <c r="G13" s="2"/>
      <c r="H13" s="2"/>
      <c r="I13" s="2"/>
      <c r="J13" s="6">
        <f t="shared" si="0"/>
        <v>0</v>
      </c>
      <c r="K13" s="3">
        <v>4</v>
      </c>
      <c r="L13" s="9">
        <f t="shared" si="1"/>
        <v>0</v>
      </c>
    </row>
    <row r="14" spans="1:12" ht="15.75" customHeight="1">
      <c r="A14" s="38">
        <f t="shared" si="2"/>
        <v>12</v>
      </c>
      <c r="B14" s="39"/>
      <c r="C14" s="5" t="s">
        <v>8</v>
      </c>
      <c r="D14" s="7"/>
      <c r="E14" s="2"/>
      <c r="F14" s="2"/>
      <c r="G14" s="2"/>
      <c r="H14" s="2"/>
      <c r="I14" s="2"/>
      <c r="J14" s="6">
        <f t="shared" si="0"/>
        <v>0</v>
      </c>
      <c r="K14" s="3">
        <v>4</v>
      </c>
      <c r="L14" s="9">
        <f t="shared" si="1"/>
        <v>0</v>
      </c>
    </row>
    <row r="15" spans="1:12" ht="15.75" customHeight="1">
      <c r="A15" s="38">
        <f t="shared" si="2"/>
        <v>13</v>
      </c>
      <c r="B15" s="39"/>
      <c r="C15" s="5" t="s">
        <v>8</v>
      </c>
      <c r="D15" s="7"/>
      <c r="E15" s="2"/>
      <c r="F15" s="2"/>
      <c r="G15" s="2"/>
      <c r="H15" s="2"/>
      <c r="I15" s="2"/>
      <c r="J15" s="6">
        <f t="shared" si="0"/>
        <v>0</v>
      </c>
      <c r="K15" s="3">
        <v>4</v>
      </c>
      <c r="L15" s="9">
        <f t="shared" si="1"/>
        <v>0</v>
      </c>
    </row>
    <row r="16" spans="1:12" ht="15.75" customHeight="1">
      <c r="A16" s="38">
        <f t="shared" si="2"/>
        <v>14</v>
      </c>
      <c r="B16" s="4"/>
      <c r="C16" s="5" t="s">
        <v>8</v>
      </c>
      <c r="D16" s="7"/>
      <c r="E16" s="2"/>
      <c r="F16" s="2"/>
      <c r="G16" s="2"/>
      <c r="H16" s="2"/>
      <c r="I16" s="2"/>
      <c r="J16" s="6">
        <f t="shared" si="0"/>
        <v>0</v>
      </c>
      <c r="K16" s="3">
        <v>4</v>
      </c>
      <c r="L16" s="9">
        <f t="shared" si="1"/>
        <v>0</v>
      </c>
    </row>
    <row r="17" spans="1:12" ht="15.75" customHeight="1">
      <c r="A17" s="38">
        <f t="shared" si="2"/>
        <v>15</v>
      </c>
      <c r="B17" s="4"/>
      <c r="C17" s="5" t="s">
        <v>8</v>
      </c>
      <c r="D17" s="7"/>
      <c r="E17" s="2"/>
      <c r="F17" s="2"/>
      <c r="G17" s="2"/>
      <c r="H17" s="2"/>
      <c r="I17" s="2"/>
      <c r="J17" s="6">
        <f t="shared" si="0"/>
        <v>0</v>
      </c>
      <c r="K17" s="3">
        <v>4</v>
      </c>
      <c r="L17" s="9">
        <f t="shared" si="1"/>
        <v>0</v>
      </c>
    </row>
    <row r="18" spans="1:12" ht="15.75" customHeight="1">
      <c r="A18" s="67" t="s">
        <v>9</v>
      </c>
      <c r="B18" s="48"/>
      <c r="C18" s="48"/>
      <c r="D18" s="48"/>
      <c r="E18" s="48"/>
      <c r="F18" s="48"/>
      <c r="G18" s="48"/>
      <c r="H18" s="48"/>
      <c r="I18" s="49"/>
      <c r="J18" s="60">
        <f t="shared" ref="J18:K18" si="3">SUM(J3:J17)</f>
        <v>0</v>
      </c>
      <c r="K18" s="60">
        <f t="shared" si="3"/>
        <v>60</v>
      </c>
      <c r="L18" s="61">
        <f>AVERAGE(L3:L17)</f>
        <v>0</v>
      </c>
    </row>
    <row r="19" spans="1:12" ht="15.75" customHeight="1">
      <c r="A19" s="50"/>
      <c r="B19" s="51"/>
      <c r="C19" s="51"/>
      <c r="D19" s="51"/>
      <c r="E19" s="51"/>
      <c r="F19" s="51"/>
      <c r="G19" s="51"/>
      <c r="H19" s="51"/>
      <c r="I19" s="52"/>
      <c r="J19" s="54"/>
      <c r="K19" s="54"/>
      <c r="L19" s="54"/>
    </row>
    <row r="20" spans="1:12" ht="15.75" customHeight="1">
      <c r="A20" s="1">
        <f>ROW()-ROW($A$19)</f>
        <v>1</v>
      </c>
      <c r="B20" s="16"/>
      <c r="C20" s="5" t="s">
        <v>10</v>
      </c>
      <c r="D20" s="7"/>
      <c r="E20" s="2"/>
      <c r="F20" s="2"/>
      <c r="G20" s="2"/>
      <c r="H20" s="2"/>
      <c r="I20" s="2"/>
      <c r="J20" s="6">
        <f t="shared" ref="J20:J29" si="4">COUNTA(D20:I20)</f>
        <v>0</v>
      </c>
      <c r="K20" s="3">
        <v>4</v>
      </c>
      <c r="L20" s="9">
        <f t="shared" ref="L20:L29" si="5">J20/K20</f>
        <v>0</v>
      </c>
    </row>
    <row r="21" spans="1:12" ht="15.75" customHeight="1">
      <c r="A21" s="1">
        <f>ROW()-ROW($A$19)</f>
        <v>2</v>
      </c>
      <c r="B21" s="16"/>
      <c r="C21" s="5" t="s">
        <v>10</v>
      </c>
      <c r="D21" s="7"/>
      <c r="E21" s="2"/>
      <c r="F21" s="2"/>
      <c r="G21" s="2"/>
      <c r="H21" s="2"/>
      <c r="I21" s="2"/>
      <c r="J21" s="6">
        <f t="shared" si="4"/>
        <v>0</v>
      </c>
      <c r="K21" s="3">
        <v>4</v>
      </c>
      <c r="L21" s="9">
        <f t="shared" si="5"/>
        <v>0</v>
      </c>
    </row>
    <row r="22" spans="1:12" ht="15.75" customHeight="1">
      <c r="A22" s="1">
        <f>ROW()-ROW($A$19)</f>
        <v>3</v>
      </c>
      <c r="B22" s="16"/>
      <c r="C22" s="5" t="s">
        <v>10</v>
      </c>
      <c r="D22" s="7"/>
      <c r="E22" s="2"/>
      <c r="F22" s="2"/>
      <c r="G22" s="2"/>
      <c r="H22" s="2"/>
      <c r="I22" s="2"/>
      <c r="J22" s="6">
        <f t="shared" si="4"/>
        <v>0</v>
      </c>
      <c r="K22" s="3">
        <v>4</v>
      </c>
      <c r="L22" s="9">
        <f t="shared" si="5"/>
        <v>0</v>
      </c>
    </row>
    <row r="23" spans="1:12" ht="15.75" customHeight="1">
      <c r="A23" s="1">
        <f>ROW()-ROW($A$19)</f>
        <v>4</v>
      </c>
      <c r="B23" s="16"/>
      <c r="C23" s="5" t="s">
        <v>10</v>
      </c>
      <c r="D23" s="7"/>
      <c r="E23" s="2"/>
      <c r="F23" s="2"/>
      <c r="G23" s="2"/>
      <c r="H23" s="2"/>
      <c r="I23" s="2"/>
      <c r="J23" s="6">
        <f t="shared" si="4"/>
        <v>0</v>
      </c>
      <c r="K23" s="3">
        <v>4</v>
      </c>
      <c r="L23" s="9">
        <f t="shared" si="5"/>
        <v>0</v>
      </c>
    </row>
    <row r="24" spans="1:12" ht="15.75" customHeight="1">
      <c r="A24" s="1">
        <f>ROW()-ROW($A$19)</f>
        <v>5</v>
      </c>
      <c r="B24" s="16"/>
      <c r="C24" s="5" t="s">
        <v>10</v>
      </c>
      <c r="D24" s="7"/>
      <c r="E24" s="2"/>
      <c r="F24" s="2"/>
      <c r="G24" s="2"/>
      <c r="H24" s="2"/>
      <c r="I24" s="2"/>
      <c r="J24" s="6">
        <f t="shared" si="4"/>
        <v>0</v>
      </c>
      <c r="K24" s="3">
        <v>4</v>
      </c>
      <c r="L24" s="9">
        <f t="shared" si="5"/>
        <v>0</v>
      </c>
    </row>
    <row r="25" spans="1:12" ht="15.75" customHeight="1">
      <c r="A25" s="1">
        <f>ROW()-ROW($A$19)</f>
        <v>6</v>
      </c>
      <c r="B25" s="10"/>
      <c r="C25" s="5" t="s">
        <v>10</v>
      </c>
      <c r="D25" s="2"/>
      <c r="E25" s="2"/>
      <c r="F25" s="2"/>
      <c r="G25" s="2"/>
      <c r="H25" s="2"/>
      <c r="I25" s="2"/>
      <c r="J25" s="6">
        <f t="shared" si="4"/>
        <v>0</v>
      </c>
      <c r="K25" s="3">
        <v>4</v>
      </c>
      <c r="L25" s="9">
        <f t="shared" si="5"/>
        <v>0</v>
      </c>
    </row>
    <row r="26" spans="1:12" ht="15.75" customHeight="1">
      <c r="A26" s="1">
        <f>ROW()-ROW($A$19)</f>
        <v>7</v>
      </c>
      <c r="B26" s="4"/>
      <c r="C26" s="5" t="s">
        <v>10</v>
      </c>
      <c r="D26" s="2"/>
      <c r="E26" s="2"/>
      <c r="F26" s="2"/>
      <c r="G26" s="2"/>
      <c r="H26" s="2"/>
      <c r="I26" s="2"/>
      <c r="J26" s="6">
        <f t="shared" si="4"/>
        <v>0</v>
      </c>
      <c r="K26" s="3">
        <v>4</v>
      </c>
      <c r="L26" s="9">
        <f t="shared" si="5"/>
        <v>0</v>
      </c>
    </row>
    <row r="27" spans="1:12" ht="15.75" customHeight="1">
      <c r="A27" s="1">
        <f>ROW()-ROW($A$19)</f>
        <v>8</v>
      </c>
      <c r="B27" s="4"/>
      <c r="C27" s="5" t="s">
        <v>10</v>
      </c>
      <c r="D27" s="2"/>
      <c r="E27" s="2"/>
      <c r="F27" s="2"/>
      <c r="G27" s="2"/>
      <c r="H27" s="2"/>
      <c r="I27" s="2"/>
      <c r="J27" s="6">
        <f t="shared" si="4"/>
        <v>0</v>
      </c>
      <c r="K27" s="3">
        <v>4</v>
      </c>
      <c r="L27" s="9">
        <f t="shared" si="5"/>
        <v>0</v>
      </c>
    </row>
    <row r="28" spans="1:12" ht="15" customHeight="1">
      <c r="A28" s="1">
        <f>ROW()-ROW($A$19)</f>
        <v>9</v>
      </c>
      <c r="B28" s="10"/>
      <c r="C28" s="5" t="s">
        <v>10</v>
      </c>
      <c r="D28" s="2"/>
      <c r="E28" s="2"/>
      <c r="F28" s="2"/>
      <c r="G28" s="2"/>
      <c r="H28" s="2"/>
      <c r="I28" s="2"/>
      <c r="J28" s="6">
        <f t="shared" si="4"/>
        <v>0</v>
      </c>
      <c r="K28" s="3">
        <v>4</v>
      </c>
      <c r="L28" s="9">
        <f t="shared" si="5"/>
        <v>0</v>
      </c>
    </row>
    <row r="29" spans="1:12" ht="15.75" customHeight="1">
      <c r="A29" s="1">
        <f>ROW()-ROW($A$19)</f>
        <v>10</v>
      </c>
      <c r="B29" s="10"/>
      <c r="C29" s="5" t="s">
        <v>10</v>
      </c>
      <c r="D29" s="2"/>
      <c r="E29" s="2"/>
      <c r="F29" s="2"/>
      <c r="G29" s="2"/>
      <c r="H29" s="2"/>
      <c r="I29" s="2"/>
      <c r="J29" s="6">
        <f t="shared" si="4"/>
        <v>0</v>
      </c>
      <c r="K29" s="3">
        <v>4</v>
      </c>
      <c r="L29" s="9">
        <f t="shared" si="5"/>
        <v>0</v>
      </c>
    </row>
    <row r="30" spans="1:12" ht="15.75" customHeight="1">
      <c r="A30" s="47" t="s">
        <v>13</v>
      </c>
      <c r="B30" s="48"/>
      <c r="C30" s="48"/>
      <c r="D30" s="48"/>
      <c r="E30" s="48"/>
      <c r="F30" s="48"/>
      <c r="G30" s="48"/>
      <c r="H30" s="48"/>
      <c r="I30" s="49"/>
      <c r="J30" s="53">
        <f t="shared" ref="J30:K30" si="6">SUM(J20:J29)</f>
        <v>0</v>
      </c>
      <c r="K30" s="53">
        <f t="shared" si="6"/>
        <v>40</v>
      </c>
      <c r="L30" s="55">
        <f>AVERAGE(L20:L29)</f>
        <v>0</v>
      </c>
    </row>
    <row r="31" spans="1:12" ht="15.75" customHeight="1">
      <c r="A31" s="50"/>
      <c r="B31" s="51"/>
      <c r="C31" s="51"/>
      <c r="D31" s="51"/>
      <c r="E31" s="51"/>
      <c r="F31" s="51"/>
      <c r="G31" s="51"/>
      <c r="H31" s="51"/>
      <c r="I31" s="52"/>
      <c r="J31" s="54"/>
      <c r="K31" s="54"/>
      <c r="L31" s="54"/>
    </row>
    <row r="32" spans="1:12" ht="15.75" customHeight="1">
      <c r="A32" s="1">
        <f>ROW()-ROW($A$31)</f>
        <v>1</v>
      </c>
      <c r="B32" s="12"/>
      <c r="C32" s="1" t="s">
        <v>12</v>
      </c>
      <c r="D32" s="3"/>
      <c r="E32" s="3"/>
      <c r="F32" s="3"/>
      <c r="G32" s="3"/>
      <c r="H32" s="3"/>
      <c r="I32" s="13"/>
      <c r="J32" s="6">
        <f t="shared" ref="J32:J47" si="7">COUNTA(D32:I32)</f>
        <v>0</v>
      </c>
      <c r="K32" s="3">
        <v>4</v>
      </c>
      <c r="L32" s="9">
        <f t="shared" ref="L32:L47" si="8">J32/K32</f>
        <v>0</v>
      </c>
    </row>
    <row r="33" spans="1:12" ht="15.75" customHeight="1">
      <c r="A33" s="1">
        <f>ROW()-ROW($A$31)</f>
        <v>2</v>
      </c>
      <c r="B33" s="12"/>
      <c r="C33" s="1" t="s">
        <v>12</v>
      </c>
      <c r="D33" s="3"/>
      <c r="E33" s="3"/>
      <c r="F33" s="3"/>
      <c r="G33" s="3"/>
      <c r="H33" s="3"/>
      <c r="I33" s="13"/>
      <c r="J33" s="6">
        <f t="shared" si="7"/>
        <v>0</v>
      </c>
      <c r="K33" s="3">
        <v>4</v>
      </c>
      <c r="L33" s="9">
        <f t="shared" si="8"/>
        <v>0</v>
      </c>
    </row>
    <row r="34" spans="1:12" ht="15.75" customHeight="1">
      <c r="A34" s="1">
        <f>ROW()-ROW($A$31)</f>
        <v>3</v>
      </c>
      <c r="B34" s="12"/>
      <c r="C34" s="1" t="s">
        <v>12</v>
      </c>
      <c r="D34" s="3"/>
      <c r="E34" s="3"/>
      <c r="F34" s="3"/>
      <c r="G34" s="3"/>
      <c r="H34" s="3"/>
      <c r="I34" s="13"/>
      <c r="J34" s="6">
        <f t="shared" si="7"/>
        <v>0</v>
      </c>
      <c r="K34" s="3">
        <v>4</v>
      </c>
      <c r="L34" s="9">
        <f t="shared" si="8"/>
        <v>0</v>
      </c>
    </row>
    <row r="35" spans="1:12" ht="15.75" customHeight="1">
      <c r="A35" s="1">
        <f>ROW()-ROW($A$31)</f>
        <v>4</v>
      </c>
      <c r="B35" s="12"/>
      <c r="C35" s="1" t="s">
        <v>12</v>
      </c>
      <c r="D35" s="3"/>
      <c r="E35" s="3"/>
      <c r="F35" s="3"/>
      <c r="G35" s="3"/>
      <c r="H35" s="3"/>
      <c r="I35" s="13"/>
      <c r="J35" s="6">
        <f t="shared" si="7"/>
        <v>0</v>
      </c>
      <c r="K35" s="3">
        <v>4</v>
      </c>
      <c r="L35" s="9">
        <f t="shared" si="8"/>
        <v>0</v>
      </c>
    </row>
    <row r="36" spans="1:12" ht="15.75" customHeight="1">
      <c r="A36" s="1">
        <f>ROW()-ROW($A$31)</f>
        <v>5</v>
      </c>
      <c r="B36" s="12"/>
      <c r="C36" s="1" t="s">
        <v>12</v>
      </c>
      <c r="D36" s="3"/>
      <c r="E36" s="3"/>
      <c r="F36" s="3"/>
      <c r="G36" s="3"/>
      <c r="H36" s="3"/>
      <c r="I36" s="13"/>
      <c r="J36" s="6">
        <f t="shared" si="7"/>
        <v>0</v>
      </c>
      <c r="K36" s="3">
        <v>4</v>
      </c>
      <c r="L36" s="9">
        <f t="shared" si="8"/>
        <v>0</v>
      </c>
    </row>
    <row r="37" spans="1:12" ht="15" customHeight="1">
      <c r="A37" s="1">
        <f>ROW()-ROW($A$31)</f>
        <v>6</v>
      </c>
      <c r="B37" s="12"/>
      <c r="C37" s="1" t="s">
        <v>12</v>
      </c>
      <c r="D37" s="3"/>
      <c r="E37" s="3"/>
      <c r="F37" s="3"/>
      <c r="G37" s="3"/>
      <c r="H37" s="3"/>
      <c r="I37" s="13"/>
      <c r="J37" s="6">
        <f t="shared" si="7"/>
        <v>0</v>
      </c>
      <c r="K37" s="3">
        <v>4</v>
      </c>
      <c r="L37" s="9">
        <f t="shared" si="8"/>
        <v>0</v>
      </c>
    </row>
    <row r="38" spans="1:12" ht="15.75" customHeight="1">
      <c r="A38" s="1">
        <f>ROW()-ROW($A$31)</f>
        <v>7</v>
      </c>
      <c r="B38" s="12"/>
      <c r="C38" s="1" t="s">
        <v>12</v>
      </c>
      <c r="D38" s="3"/>
      <c r="E38" s="3"/>
      <c r="F38" s="3"/>
      <c r="G38" s="3"/>
      <c r="H38" s="3"/>
      <c r="I38" s="13"/>
      <c r="J38" s="6">
        <f t="shared" si="7"/>
        <v>0</v>
      </c>
      <c r="K38" s="3">
        <v>4</v>
      </c>
      <c r="L38" s="9">
        <f t="shared" si="8"/>
        <v>0</v>
      </c>
    </row>
    <row r="39" spans="1:12" ht="15.75" customHeight="1">
      <c r="A39" s="1">
        <f>ROW()-ROW($A$31)</f>
        <v>8</v>
      </c>
      <c r="B39" s="12"/>
      <c r="C39" s="1" t="s">
        <v>12</v>
      </c>
      <c r="D39" s="3"/>
      <c r="E39" s="3"/>
      <c r="F39" s="3"/>
      <c r="G39" s="3"/>
      <c r="H39" s="3"/>
      <c r="I39" s="13"/>
      <c r="J39" s="6">
        <f t="shared" si="7"/>
        <v>0</v>
      </c>
      <c r="K39" s="3">
        <v>4</v>
      </c>
      <c r="L39" s="9">
        <f t="shared" si="8"/>
        <v>0</v>
      </c>
    </row>
    <row r="40" spans="1:12" ht="15.75" customHeight="1">
      <c r="A40" s="1">
        <f>ROW()-ROW($A$31)</f>
        <v>9</v>
      </c>
      <c r="B40" s="12"/>
      <c r="C40" s="1" t="s">
        <v>12</v>
      </c>
      <c r="D40" s="3"/>
      <c r="E40" s="3"/>
      <c r="F40" s="3"/>
      <c r="G40" s="3"/>
      <c r="H40" s="3"/>
      <c r="I40" s="13"/>
      <c r="J40" s="6">
        <f t="shared" si="7"/>
        <v>0</v>
      </c>
      <c r="K40" s="3">
        <v>4</v>
      </c>
      <c r="L40" s="9">
        <f t="shared" si="8"/>
        <v>0</v>
      </c>
    </row>
    <row r="41" spans="1:12" ht="15.75" customHeight="1">
      <c r="A41" s="1">
        <f>ROW()-ROW($A$31)</f>
        <v>10</v>
      </c>
      <c r="B41" s="12"/>
      <c r="C41" s="1" t="s">
        <v>12</v>
      </c>
      <c r="D41" s="3"/>
      <c r="E41" s="3"/>
      <c r="F41" s="3"/>
      <c r="G41" s="3"/>
      <c r="H41" s="3"/>
      <c r="I41" s="13"/>
      <c r="J41" s="6">
        <f t="shared" si="7"/>
        <v>0</v>
      </c>
      <c r="K41" s="3">
        <v>4</v>
      </c>
      <c r="L41" s="9">
        <f t="shared" si="8"/>
        <v>0</v>
      </c>
    </row>
    <row r="42" spans="1:12" ht="15.75" customHeight="1">
      <c r="A42" s="1">
        <f>ROW()-ROW($A$31)</f>
        <v>11</v>
      </c>
      <c r="B42" s="12"/>
      <c r="C42" s="1" t="s">
        <v>12</v>
      </c>
      <c r="D42" s="3"/>
      <c r="E42" s="3"/>
      <c r="F42" s="3"/>
      <c r="G42" s="3"/>
      <c r="H42" s="3"/>
      <c r="I42" s="13"/>
      <c r="J42" s="6">
        <f t="shared" si="7"/>
        <v>0</v>
      </c>
      <c r="K42" s="3">
        <v>4</v>
      </c>
      <c r="L42" s="9">
        <f t="shared" si="8"/>
        <v>0</v>
      </c>
    </row>
    <row r="43" spans="1:12" ht="15.75" customHeight="1">
      <c r="A43" s="1">
        <f>ROW()-ROW($A$31)</f>
        <v>12</v>
      </c>
      <c r="B43" s="12"/>
      <c r="C43" s="1" t="s">
        <v>12</v>
      </c>
      <c r="D43" s="3"/>
      <c r="E43" s="3"/>
      <c r="F43" s="3"/>
      <c r="G43" s="3"/>
      <c r="H43" s="3"/>
      <c r="I43" s="13"/>
      <c r="J43" s="6">
        <f t="shared" si="7"/>
        <v>0</v>
      </c>
      <c r="K43" s="3">
        <v>4</v>
      </c>
      <c r="L43" s="9">
        <f t="shared" si="8"/>
        <v>0</v>
      </c>
    </row>
    <row r="44" spans="1:12" ht="15.75" customHeight="1">
      <c r="A44" s="1">
        <f>ROW()-ROW($A$31)</f>
        <v>13</v>
      </c>
      <c r="B44" s="12"/>
      <c r="C44" s="1" t="s">
        <v>12</v>
      </c>
      <c r="D44" s="3"/>
      <c r="E44" s="3"/>
      <c r="F44" s="3"/>
      <c r="G44" s="3"/>
      <c r="H44" s="3"/>
      <c r="I44" s="13"/>
      <c r="J44" s="6">
        <f t="shared" si="7"/>
        <v>0</v>
      </c>
      <c r="K44" s="3">
        <v>4</v>
      </c>
      <c r="L44" s="9">
        <f t="shared" si="8"/>
        <v>0</v>
      </c>
    </row>
    <row r="45" spans="1:12" ht="15.75" customHeight="1">
      <c r="A45" s="1">
        <f>ROW()-ROW($A$31)</f>
        <v>14</v>
      </c>
      <c r="B45" s="12"/>
      <c r="C45" s="1" t="s">
        <v>12</v>
      </c>
      <c r="D45" s="3"/>
      <c r="E45" s="3"/>
      <c r="F45" s="3"/>
      <c r="G45" s="3"/>
      <c r="H45" s="3"/>
      <c r="I45" s="13"/>
      <c r="J45" s="6">
        <f t="shared" si="7"/>
        <v>0</v>
      </c>
      <c r="K45" s="3">
        <v>4</v>
      </c>
      <c r="L45" s="9">
        <f t="shared" si="8"/>
        <v>0</v>
      </c>
    </row>
    <row r="46" spans="1:12" ht="15.75" customHeight="1">
      <c r="A46" s="1">
        <f>ROW()-ROW($A$31)</f>
        <v>15</v>
      </c>
      <c r="B46" s="12"/>
      <c r="C46" s="1" t="s">
        <v>12</v>
      </c>
      <c r="D46" s="3"/>
      <c r="E46" s="3"/>
      <c r="F46" s="3"/>
      <c r="G46" s="3"/>
      <c r="H46" s="3"/>
      <c r="I46" s="13"/>
      <c r="J46" s="6">
        <f t="shared" si="7"/>
        <v>0</v>
      </c>
      <c r="K46" s="3">
        <v>4</v>
      </c>
      <c r="L46" s="9">
        <f t="shared" si="8"/>
        <v>0</v>
      </c>
    </row>
    <row r="47" spans="1:12" ht="15.75" customHeight="1">
      <c r="A47" s="1">
        <f>ROW()-ROW($A$31)</f>
        <v>16</v>
      </c>
      <c r="B47" s="12"/>
      <c r="C47" s="1" t="s">
        <v>12</v>
      </c>
      <c r="D47" s="3"/>
      <c r="E47" s="3"/>
      <c r="F47" s="3"/>
      <c r="G47" s="3"/>
      <c r="H47" s="3"/>
      <c r="I47" s="13"/>
      <c r="J47" s="6">
        <f t="shared" si="7"/>
        <v>0</v>
      </c>
      <c r="K47" s="3">
        <v>4</v>
      </c>
      <c r="L47" s="9">
        <f t="shared" si="8"/>
        <v>0</v>
      </c>
    </row>
    <row r="48" spans="1:12" ht="15.75" customHeight="1">
      <c r="A48" s="47" t="s">
        <v>13</v>
      </c>
      <c r="B48" s="48"/>
      <c r="C48" s="48"/>
      <c r="D48" s="48"/>
      <c r="E48" s="48"/>
      <c r="F48" s="48"/>
      <c r="G48" s="48"/>
      <c r="H48" s="48"/>
      <c r="I48" s="49"/>
      <c r="J48" s="56">
        <f t="shared" ref="J48:K48" si="9">SUM(J32:J47)</f>
        <v>0</v>
      </c>
      <c r="K48" s="56">
        <f t="shared" si="9"/>
        <v>64</v>
      </c>
      <c r="L48" s="55">
        <f>AVERAGE(L32:L47)</f>
        <v>0</v>
      </c>
    </row>
    <row r="49" spans="1:12" ht="15.75" customHeight="1">
      <c r="A49" s="50"/>
      <c r="B49" s="51"/>
      <c r="C49" s="51"/>
      <c r="D49" s="51"/>
      <c r="E49" s="51"/>
      <c r="F49" s="51"/>
      <c r="G49" s="51"/>
      <c r="H49" s="51"/>
      <c r="I49" s="52"/>
      <c r="J49" s="54"/>
      <c r="K49" s="54"/>
      <c r="L49" s="54"/>
    </row>
    <row r="50" spans="1:12" ht="15.75" customHeight="1">
      <c r="A50" s="5">
        <f>ROW()-ROW($A$49)</f>
        <v>1</v>
      </c>
      <c r="B50" s="10"/>
      <c r="C50" s="5" t="s">
        <v>14</v>
      </c>
      <c r="D50" s="17"/>
      <c r="E50" s="17"/>
      <c r="F50" s="17"/>
      <c r="G50" s="17"/>
      <c r="H50" s="5"/>
      <c r="I50" s="5"/>
      <c r="J50" s="6">
        <f t="shared" ref="J50:J64" si="10">COUNTA(D50:I50)</f>
        <v>0</v>
      </c>
      <c r="K50" s="3">
        <v>4</v>
      </c>
      <c r="L50" s="9">
        <f t="shared" ref="L50:L64" si="11">J50/K50</f>
        <v>0</v>
      </c>
    </row>
    <row r="51" spans="1:12" ht="15.75" customHeight="1">
      <c r="A51" s="5">
        <f>ROW()-ROW($A$49)</f>
        <v>2</v>
      </c>
      <c r="B51" s="12"/>
      <c r="C51" s="5" t="s">
        <v>14</v>
      </c>
      <c r="D51" s="17"/>
      <c r="E51" s="17"/>
      <c r="F51" s="17"/>
      <c r="G51" s="17"/>
      <c r="H51" s="5"/>
      <c r="I51" s="5"/>
      <c r="J51" s="6">
        <f t="shared" si="10"/>
        <v>0</v>
      </c>
      <c r="K51" s="3">
        <v>4</v>
      </c>
      <c r="L51" s="9">
        <f t="shared" si="11"/>
        <v>0</v>
      </c>
    </row>
    <row r="52" spans="1:12" ht="15.75" customHeight="1">
      <c r="A52" s="5">
        <f>ROW()-ROW($A$49)</f>
        <v>3</v>
      </c>
      <c r="B52" s="14"/>
      <c r="C52" s="5" t="s">
        <v>14</v>
      </c>
      <c r="D52" s="17"/>
      <c r="E52" s="17"/>
      <c r="F52" s="17"/>
      <c r="G52" s="17"/>
      <c r="H52" s="5"/>
      <c r="I52" s="5"/>
      <c r="J52" s="6">
        <f t="shared" si="10"/>
        <v>0</v>
      </c>
      <c r="K52" s="3">
        <v>4</v>
      </c>
      <c r="L52" s="9">
        <f t="shared" si="11"/>
        <v>0</v>
      </c>
    </row>
    <row r="53" spans="1:12" ht="15.75" customHeight="1">
      <c r="A53" s="5">
        <f>ROW()-ROW($A$49)</f>
        <v>4</v>
      </c>
      <c r="B53" s="14"/>
      <c r="C53" s="5" t="s">
        <v>14</v>
      </c>
      <c r="D53" s="17"/>
      <c r="E53" s="18"/>
      <c r="F53" s="17"/>
      <c r="G53" s="18"/>
      <c r="H53" s="5"/>
      <c r="I53" s="5"/>
      <c r="J53" s="6">
        <f t="shared" si="10"/>
        <v>0</v>
      </c>
      <c r="K53" s="3">
        <v>4</v>
      </c>
      <c r="L53" s="9">
        <f t="shared" si="11"/>
        <v>0</v>
      </c>
    </row>
    <row r="54" spans="1:12" ht="15.75" customHeight="1">
      <c r="A54" s="5">
        <f>ROW()-ROW($A$49)</f>
        <v>5</v>
      </c>
      <c r="B54" s="14"/>
      <c r="C54" s="5" t="s">
        <v>14</v>
      </c>
      <c r="D54" s="17"/>
      <c r="E54" s="17"/>
      <c r="F54" s="17"/>
      <c r="G54" s="17"/>
      <c r="H54" s="5"/>
      <c r="I54" s="5"/>
      <c r="J54" s="6">
        <f t="shared" si="10"/>
        <v>0</v>
      </c>
      <c r="K54" s="3">
        <v>4</v>
      </c>
      <c r="L54" s="9">
        <f t="shared" si="11"/>
        <v>0</v>
      </c>
    </row>
    <row r="55" spans="1:12" ht="15.75" customHeight="1">
      <c r="A55" s="5">
        <f>ROW()-ROW($A$49)</f>
        <v>6</v>
      </c>
      <c r="B55" s="12"/>
      <c r="C55" s="5" t="s">
        <v>14</v>
      </c>
      <c r="D55" s="17"/>
      <c r="E55" s="17"/>
      <c r="F55" s="17"/>
      <c r="G55" s="17"/>
      <c r="H55" s="5"/>
      <c r="I55" s="5"/>
      <c r="J55" s="6">
        <f t="shared" si="10"/>
        <v>0</v>
      </c>
      <c r="K55" s="3">
        <v>4</v>
      </c>
      <c r="L55" s="9">
        <f t="shared" si="11"/>
        <v>0</v>
      </c>
    </row>
    <row r="56" spans="1:12" ht="15.75" customHeight="1">
      <c r="A56" s="5">
        <f>ROW()-ROW($A$49)</f>
        <v>7</v>
      </c>
      <c r="B56" s="12"/>
      <c r="C56" s="5" t="s">
        <v>14</v>
      </c>
      <c r="D56" s="18"/>
      <c r="E56" s="17"/>
      <c r="F56" s="18"/>
      <c r="G56" s="18"/>
      <c r="H56" s="5"/>
      <c r="I56" s="5"/>
      <c r="J56" s="6">
        <f t="shared" si="10"/>
        <v>0</v>
      </c>
      <c r="K56" s="3">
        <v>4</v>
      </c>
      <c r="L56" s="9">
        <f t="shared" si="11"/>
        <v>0</v>
      </c>
    </row>
    <row r="57" spans="1:12" ht="15.75" customHeight="1">
      <c r="A57" s="5">
        <f>ROW()-ROW($A$49)</f>
        <v>8</v>
      </c>
      <c r="B57" s="12"/>
      <c r="C57" s="5" t="s">
        <v>14</v>
      </c>
      <c r="D57" s="18"/>
      <c r="E57" s="17"/>
      <c r="F57" s="18"/>
      <c r="G57" s="18"/>
      <c r="H57" s="5"/>
      <c r="I57" s="5"/>
      <c r="J57" s="6">
        <f t="shared" si="10"/>
        <v>0</v>
      </c>
      <c r="K57" s="3">
        <v>4</v>
      </c>
      <c r="L57" s="9">
        <f t="shared" si="11"/>
        <v>0</v>
      </c>
    </row>
    <row r="58" spans="1:12" ht="15.75" customHeight="1">
      <c r="A58" s="5">
        <f>ROW()-ROW($A$49)</f>
        <v>9</v>
      </c>
      <c r="B58" s="12"/>
      <c r="C58" s="5" t="s">
        <v>14</v>
      </c>
      <c r="D58" s="18"/>
      <c r="E58" s="17"/>
      <c r="F58" s="18"/>
      <c r="G58" s="18"/>
      <c r="H58" s="5"/>
      <c r="I58" s="5"/>
      <c r="J58" s="6">
        <f t="shared" si="10"/>
        <v>0</v>
      </c>
      <c r="K58" s="3">
        <v>4</v>
      </c>
      <c r="L58" s="9">
        <f t="shared" si="11"/>
        <v>0</v>
      </c>
    </row>
    <row r="59" spans="1:12" ht="15.75" customHeight="1">
      <c r="A59" s="5">
        <f>ROW()-ROW($A$49)</f>
        <v>10</v>
      </c>
      <c r="B59" s="12"/>
      <c r="C59" s="5" t="s">
        <v>14</v>
      </c>
      <c r="D59" s="18"/>
      <c r="E59" s="17"/>
      <c r="F59" s="18"/>
      <c r="G59" s="18"/>
      <c r="H59" s="5"/>
      <c r="I59" s="5"/>
      <c r="J59" s="6">
        <f t="shared" si="10"/>
        <v>0</v>
      </c>
      <c r="K59" s="3">
        <v>4</v>
      </c>
      <c r="L59" s="9">
        <f t="shared" si="11"/>
        <v>0</v>
      </c>
    </row>
    <row r="60" spans="1:12" ht="15.75" customHeight="1">
      <c r="A60" s="5">
        <f>ROW()-ROW($A$49)</f>
        <v>11</v>
      </c>
      <c r="B60" s="12"/>
      <c r="C60" s="5" t="s">
        <v>14</v>
      </c>
      <c r="D60" s="18"/>
      <c r="E60" s="17"/>
      <c r="F60" s="18"/>
      <c r="G60" s="18"/>
      <c r="H60" s="5"/>
      <c r="I60" s="5"/>
      <c r="J60" s="6">
        <f t="shared" si="10"/>
        <v>0</v>
      </c>
      <c r="K60" s="3">
        <v>4</v>
      </c>
      <c r="L60" s="9">
        <f t="shared" si="11"/>
        <v>0</v>
      </c>
    </row>
    <row r="61" spans="1:12" ht="15.75" customHeight="1">
      <c r="A61" s="5">
        <f>ROW()-ROW($A$49)</f>
        <v>12</v>
      </c>
      <c r="B61" s="12"/>
      <c r="C61" s="5" t="s">
        <v>14</v>
      </c>
      <c r="D61" s="18"/>
      <c r="E61" s="18"/>
      <c r="F61" s="17"/>
      <c r="G61" s="18"/>
      <c r="H61" s="5"/>
      <c r="I61" s="5"/>
      <c r="J61" s="6">
        <f t="shared" si="10"/>
        <v>0</v>
      </c>
      <c r="K61" s="3">
        <v>4</v>
      </c>
      <c r="L61" s="9">
        <f t="shared" si="11"/>
        <v>0</v>
      </c>
    </row>
    <row r="62" spans="1:12" ht="15.75" customHeight="1">
      <c r="A62" s="5">
        <f>ROW()-ROW($A$49)</f>
        <v>13</v>
      </c>
      <c r="B62" s="12"/>
      <c r="C62" s="5" t="s">
        <v>14</v>
      </c>
      <c r="D62" s="17"/>
      <c r="E62" s="17"/>
      <c r="F62" s="18"/>
      <c r="G62" s="17"/>
      <c r="H62" s="5"/>
      <c r="I62" s="5"/>
      <c r="J62" s="6">
        <f t="shared" si="10"/>
        <v>0</v>
      </c>
      <c r="K62" s="3">
        <v>4</v>
      </c>
      <c r="L62" s="9">
        <f t="shared" si="11"/>
        <v>0</v>
      </c>
    </row>
    <row r="63" spans="1:12" ht="15" customHeight="1">
      <c r="A63" s="5">
        <f>ROW()-ROW($A$49)</f>
        <v>14</v>
      </c>
      <c r="B63" s="14"/>
      <c r="C63" s="5" t="s">
        <v>14</v>
      </c>
      <c r="D63" s="17"/>
      <c r="E63" s="17"/>
      <c r="F63" s="17"/>
      <c r="G63" s="18"/>
      <c r="H63" s="5"/>
      <c r="I63" s="5"/>
      <c r="J63" s="6">
        <f t="shared" si="10"/>
        <v>0</v>
      </c>
      <c r="K63" s="3">
        <v>4</v>
      </c>
      <c r="L63" s="9">
        <f t="shared" si="11"/>
        <v>0</v>
      </c>
    </row>
    <row r="64" spans="1:12" ht="15" customHeight="1">
      <c r="A64" s="5">
        <f>ROW()-ROW($A$49)</f>
        <v>15</v>
      </c>
      <c r="B64" s="14"/>
      <c r="C64" s="5" t="s">
        <v>14</v>
      </c>
      <c r="D64" s="18"/>
      <c r="E64" s="17"/>
      <c r="F64" s="17"/>
      <c r="G64" s="18"/>
      <c r="H64" s="5"/>
      <c r="I64" s="5"/>
      <c r="J64" s="6">
        <f t="shared" si="10"/>
        <v>0</v>
      </c>
      <c r="K64" s="3">
        <v>4</v>
      </c>
      <c r="L64" s="9">
        <f t="shared" si="11"/>
        <v>0</v>
      </c>
    </row>
    <row r="65" spans="1:12" ht="15.75" customHeight="1">
      <c r="A65" s="57" t="s">
        <v>13</v>
      </c>
      <c r="B65" s="48"/>
      <c r="C65" s="48"/>
      <c r="D65" s="48"/>
      <c r="E65" s="48"/>
      <c r="F65" s="48"/>
      <c r="G65" s="48"/>
      <c r="H65" s="48"/>
      <c r="I65" s="49"/>
      <c r="J65" s="58">
        <f t="shared" ref="J65:K65" si="12">SUM(J50:J64)</f>
        <v>0</v>
      </c>
      <c r="K65" s="58">
        <f t="shared" si="12"/>
        <v>60</v>
      </c>
      <c r="L65" s="55">
        <f>AVERAGE(L50:L64)</f>
        <v>0</v>
      </c>
    </row>
    <row r="66" spans="1:12" ht="15.75" customHeight="1">
      <c r="A66" s="51"/>
      <c r="B66" s="51"/>
      <c r="C66" s="51"/>
      <c r="D66" s="51"/>
      <c r="E66" s="51"/>
      <c r="F66" s="51"/>
      <c r="G66" s="51"/>
      <c r="H66" s="51"/>
      <c r="I66" s="52"/>
      <c r="J66" s="59"/>
      <c r="K66" s="59"/>
      <c r="L66" s="54"/>
    </row>
    <row r="67" spans="1:12" ht="15.75" customHeight="1">
      <c r="A67" s="44" t="s">
        <v>15</v>
      </c>
      <c r="B67" s="45"/>
      <c r="C67" s="45"/>
      <c r="D67" s="45"/>
      <c r="E67" s="45"/>
      <c r="F67" s="45"/>
      <c r="G67" s="45"/>
      <c r="H67" s="45"/>
      <c r="I67" s="46"/>
      <c r="J67" s="15">
        <f t="shared" ref="J67:K67" si="13">SUM(J18+J30+J48+J65)</f>
        <v>0</v>
      </c>
      <c r="K67" s="15">
        <f t="shared" si="13"/>
        <v>224</v>
      </c>
      <c r="L67" s="9">
        <f>AVERAGE(L18,L30,L48,L65)</f>
        <v>0</v>
      </c>
    </row>
    <row r="68" spans="1:12" ht="15.75" customHeight="1"/>
    <row r="69" spans="1:12" ht="15.75" customHeight="1"/>
    <row r="70" spans="1:12" ht="15.75" customHeight="1">
      <c r="B70" s="30" t="s">
        <v>20</v>
      </c>
    </row>
    <row r="71" spans="1:12" ht="15.75" customHeight="1">
      <c r="B71" s="31" t="s">
        <v>18</v>
      </c>
    </row>
    <row r="72" spans="1:12" ht="15" customHeight="1">
      <c r="B72" s="32" t="s">
        <v>19</v>
      </c>
    </row>
    <row r="73" spans="1:12" ht="15.75" customHeight="1"/>
    <row r="74" spans="1:12" ht="14.5"/>
    <row r="75" spans="1:12" ht="15.75" customHeight="1"/>
    <row r="76" spans="1:12" ht="14.5"/>
    <row r="77" spans="1:12" ht="15.75" customHeight="1"/>
    <row r="78" spans="1:12" ht="15.75" customHeight="1"/>
    <row r="79" spans="1:12" ht="15.75" customHeight="1"/>
    <row r="80" spans="1:12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</sheetData>
  <mergeCells count="24">
    <mergeCell ref="A67:I67"/>
    <mergeCell ref="A48:I49"/>
    <mergeCell ref="J48:J49"/>
    <mergeCell ref="K48:K49"/>
    <mergeCell ref="L48:L49"/>
    <mergeCell ref="A65:I66"/>
    <mergeCell ref="J65:J66"/>
    <mergeCell ref="K65:K66"/>
    <mergeCell ref="L65:L66"/>
    <mergeCell ref="L18:L19"/>
    <mergeCell ref="A30:I31"/>
    <mergeCell ref="J30:J31"/>
    <mergeCell ref="K30:K31"/>
    <mergeCell ref="L30:L31"/>
    <mergeCell ref="D1:I1"/>
    <mergeCell ref="J1:J2"/>
    <mergeCell ref="K1:K2"/>
    <mergeCell ref="L1:L2"/>
    <mergeCell ref="A1:A2"/>
    <mergeCell ref="B1:B2"/>
    <mergeCell ref="C1:C2"/>
    <mergeCell ref="A18:I19"/>
    <mergeCell ref="J18:J19"/>
    <mergeCell ref="K18:K19"/>
  </mergeCells>
  <phoneticPr fontId="5" type="noConversion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04"/>
  <sheetViews>
    <sheetView workbookViewId="0">
      <selection activeCell="M3" sqref="M3:M7"/>
    </sheetView>
  </sheetViews>
  <sheetFormatPr defaultColWidth="14.453125" defaultRowHeight="15" customHeight="1"/>
  <cols>
    <col min="1" max="1" width="8.81640625" customWidth="1"/>
    <col min="2" max="2" width="35.7265625" customWidth="1"/>
    <col min="3" max="10" width="21.26953125" customWidth="1"/>
    <col min="11" max="13" width="11.453125" customWidth="1"/>
    <col min="14" max="26" width="8.81640625" customWidth="1"/>
  </cols>
  <sheetData>
    <row r="1" spans="1:13" ht="15.75" customHeight="1">
      <c r="A1" s="68" t="s">
        <v>0</v>
      </c>
      <c r="B1" s="68" t="s">
        <v>1</v>
      </c>
      <c r="C1" s="73" t="s">
        <v>17</v>
      </c>
      <c r="D1" s="74"/>
      <c r="E1" s="74"/>
      <c r="F1" s="74"/>
      <c r="G1" s="74"/>
      <c r="H1" s="74"/>
      <c r="I1" s="74"/>
      <c r="J1" s="75"/>
      <c r="K1" s="76" t="s">
        <v>3</v>
      </c>
      <c r="L1" s="77" t="s">
        <v>5</v>
      </c>
      <c r="M1" s="68" t="s">
        <v>6</v>
      </c>
    </row>
    <row r="2" spans="1:13" ht="15.5">
      <c r="A2" s="69"/>
      <c r="B2" s="69"/>
      <c r="C2" s="42">
        <v>46234</v>
      </c>
      <c r="D2" s="22"/>
      <c r="E2" s="22"/>
      <c r="F2" s="22"/>
      <c r="G2" s="22"/>
      <c r="H2" s="22"/>
      <c r="I2" s="23"/>
      <c r="J2" s="23"/>
      <c r="K2" s="69"/>
      <c r="L2" s="69"/>
      <c r="M2" s="69"/>
    </row>
    <row r="3" spans="1:13" ht="15.5">
      <c r="A3" s="1">
        <f>ROW()-ROW('Absensi APR - GPN B '!$A$2)</f>
        <v>1</v>
      </c>
      <c r="B3" s="16"/>
      <c r="C3" s="19"/>
      <c r="D3" s="19"/>
      <c r="E3" s="19"/>
      <c r="F3" s="2"/>
      <c r="G3" s="2"/>
      <c r="H3" s="2"/>
      <c r="I3" s="3"/>
      <c r="J3" s="3"/>
      <c r="K3" s="8">
        <f t="shared" ref="K3:K11" si="0">COUNTA(C3:J3)</f>
        <v>0</v>
      </c>
      <c r="L3" s="1">
        <v>4</v>
      </c>
      <c r="M3" s="9">
        <f t="shared" ref="M3:M11" si="1">K3/L3</f>
        <v>0</v>
      </c>
    </row>
    <row r="4" spans="1:13" ht="15.5">
      <c r="A4" s="1">
        <f>ROW()-ROW('Absensi APR - GPN B '!$A$2)</f>
        <v>2</v>
      </c>
      <c r="B4" s="16"/>
      <c r="C4" s="19"/>
      <c r="D4" s="19"/>
      <c r="E4" s="19"/>
      <c r="F4" s="2"/>
      <c r="G4" s="2"/>
      <c r="H4" s="2"/>
      <c r="I4" s="3"/>
      <c r="J4" s="3"/>
      <c r="K4" s="8">
        <f t="shared" si="0"/>
        <v>0</v>
      </c>
      <c r="L4" s="1">
        <v>4</v>
      </c>
      <c r="M4" s="9">
        <f t="shared" si="1"/>
        <v>0</v>
      </c>
    </row>
    <row r="5" spans="1:13" ht="15.5">
      <c r="A5" s="1">
        <f>ROW()-ROW('Absensi APR - GPN B '!$A$2)</f>
        <v>3</v>
      </c>
      <c r="B5" s="16"/>
      <c r="C5" s="19"/>
      <c r="D5" s="19"/>
      <c r="E5" s="19"/>
      <c r="F5" s="2"/>
      <c r="G5" s="2"/>
      <c r="H5" s="2"/>
      <c r="I5" s="3"/>
      <c r="J5" s="3"/>
      <c r="K5" s="8">
        <f t="shared" si="0"/>
        <v>0</v>
      </c>
      <c r="L5" s="1">
        <v>4</v>
      </c>
      <c r="M5" s="9">
        <f t="shared" si="1"/>
        <v>0</v>
      </c>
    </row>
    <row r="6" spans="1:13" ht="15.5">
      <c r="A6" s="1">
        <f>ROW()-ROW('Absensi APR - GPN B '!$A$2)</f>
        <v>4</v>
      </c>
      <c r="B6" s="16"/>
      <c r="C6" s="19"/>
      <c r="D6" s="19"/>
      <c r="E6" s="19"/>
      <c r="F6" s="2"/>
      <c r="G6" s="2"/>
      <c r="H6" s="2"/>
      <c r="I6" s="3"/>
      <c r="J6" s="3"/>
      <c r="K6" s="8">
        <f t="shared" si="0"/>
        <v>0</v>
      </c>
      <c r="L6" s="1">
        <v>4</v>
      </c>
      <c r="M6" s="9">
        <f t="shared" si="1"/>
        <v>0</v>
      </c>
    </row>
    <row r="7" spans="1:13" ht="15.5">
      <c r="A7" s="1">
        <f>ROW()-ROW('Absensi APR - GPN B '!$A$2)</f>
        <v>5</v>
      </c>
      <c r="B7" s="16"/>
      <c r="C7" s="19"/>
      <c r="D7" s="19"/>
      <c r="E7" s="19"/>
      <c r="F7" s="2"/>
      <c r="G7" s="2"/>
      <c r="H7" s="2"/>
      <c r="I7" s="3"/>
      <c r="J7" s="3"/>
      <c r="K7" s="8">
        <f t="shared" si="0"/>
        <v>0</v>
      </c>
      <c r="L7" s="1">
        <v>4</v>
      </c>
      <c r="M7" s="9">
        <f t="shared" si="1"/>
        <v>0</v>
      </c>
    </row>
    <row r="8" spans="1:13" ht="15.5">
      <c r="A8" s="1">
        <f>ROW()-ROW('Absensi APR - GPN B '!$A$1)</f>
        <v>7</v>
      </c>
      <c r="B8" s="20"/>
      <c r="C8" s="18"/>
      <c r="D8" s="18"/>
      <c r="E8" s="19"/>
      <c r="F8" s="2"/>
      <c r="G8" s="2"/>
      <c r="H8" s="2"/>
      <c r="I8" s="3"/>
      <c r="J8" s="3"/>
      <c r="K8" s="8">
        <f t="shared" si="0"/>
        <v>0</v>
      </c>
      <c r="L8" s="1">
        <v>4</v>
      </c>
      <c r="M8" s="9">
        <f t="shared" si="1"/>
        <v>0</v>
      </c>
    </row>
    <row r="9" spans="1:13" ht="15.5">
      <c r="A9" s="1">
        <f>ROW()-ROW('Absensi APR - GPN B '!$A$1)</f>
        <v>8</v>
      </c>
      <c r="B9" s="21"/>
      <c r="C9" s="17"/>
      <c r="D9" s="18"/>
      <c r="E9" s="18"/>
      <c r="F9" s="2"/>
      <c r="G9" s="2"/>
      <c r="H9" s="2"/>
      <c r="I9" s="3"/>
      <c r="J9" s="3"/>
      <c r="K9" s="8">
        <f t="shared" si="0"/>
        <v>0</v>
      </c>
      <c r="L9" s="1">
        <v>4</v>
      </c>
      <c r="M9" s="9">
        <f t="shared" si="1"/>
        <v>0</v>
      </c>
    </row>
    <row r="10" spans="1:13" ht="15.5">
      <c r="A10" s="1">
        <f>ROW()-ROW('Absensi APR - GPN B '!$A$1)</f>
        <v>9</v>
      </c>
      <c r="B10" s="20"/>
      <c r="C10" s="17"/>
      <c r="D10" s="19"/>
      <c r="E10" s="19"/>
      <c r="F10" s="2"/>
      <c r="G10" s="2"/>
      <c r="H10" s="2"/>
      <c r="I10" s="3"/>
      <c r="J10" s="3"/>
      <c r="K10" s="8">
        <f t="shared" si="0"/>
        <v>0</v>
      </c>
      <c r="L10" s="1">
        <v>4</v>
      </c>
      <c r="M10" s="9">
        <f t="shared" si="1"/>
        <v>0</v>
      </c>
    </row>
    <row r="11" spans="1:13" ht="15.5">
      <c r="A11" s="11">
        <f>ROW()-ROW('Absensi APR - GPN B '!$A$1)</f>
        <v>10</v>
      </c>
      <c r="B11" s="10"/>
      <c r="C11" s="5"/>
      <c r="D11" s="2"/>
      <c r="E11" s="2"/>
      <c r="F11" s="2"/>
      <c r="G11" s="2"/>
      <c r="H11" s="3"/>
      <c r="I11" s="3"/>
      <c r="J11" s="3"/>
      <c r="K11" s="8">
        <f t="shared" si="0"/>
        <v>0</v>
      </c>
      <c r="L11" s="1">
        <v>4</v>
      </c>
      <c r="M11" s="9">
        <f t="shared" si="1"/>
        <v>0</v>
      </c>
    </row>
    <row r="12" spans="1:13" ht="15.5">
      <c r="A12" s="70" t="s">
        <v>11</v>
      </c>
      <c r="B12" s="71"/>
      <c r="C12" s="71"/>
      <c r="D12" s="71"/>
      <c r="E12" s="71"/>
      <c r="F12" s="71"/>
      <c r="G12" s="71"/>
      <c r="H12" s="71"/>
      <c r="I12" s="71"/>
      <c r="J12" s="72"/>
      <c r="K12" s="8">
        <f t="shared" ref="K12:L12" si="2">SUM(K3:K11)</f>
        <v>0</v>
      </c>
      <c r="L12" s="3">
        <f t="shared" si="2"/>
        <v>36</v>
      </c>
      <c r="M12" s="9">
        <f>AVERAGE(M8:M11)</f>
        <v>0</v>
      </c>
    </row>
    <row r="16" spans="1:13" ht="14.5">
      <c r="A16" s="24"/>
      <c r="B16" s="30" t="s">
        <v>20</v>
      </c>
    </row>
    <row r="17" spans="2:2" ht="14.5">
      <c r="B17" s="31" t="s">
        <v>18</v>
      </c>
    </row>
    <row r="18" spans="2:2" ht="15" customHeight="1">
      <c r="B18" s="32" t="s">
        <v>19</v>
      </c>
    </row>
    <row r="25" spans="2:2" ht="15.75" customHeight="1"/>
    <row r="26" spans="2:2" ht="15.75" customHeight="1"/>
    <row r="27" spans="2:2" ht="15.75" customHeight="1"/>
    <row r="28" spans="2:2" ht="15.75" customHeight="1"/>
    <row r="29" spans="2:2" ht="15.75" customHeight="1"/>
    <row r="30" spans="2:2" ht="15.75" customHeight="1"/>
    <row r="31" spans="2:2" ht="15.75" customHeight="1"/>
    <row r="32" spans="2: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7">
    <mergeCell ref="M1:M2"/>
    <mergeCell ref="A12:J12"/>
    <mergeCell ref="A1:A2"/>
    <mergeCell ref="B1:B2"/>
    <mergeCell ref="C1:J1"/>
    <mergeCell ref="K1:K2"/>
    <mergeCell ref="L1:L2"/>
  </mergeCell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2E5C-0356-4860-BE02-54F9DA9A0A96}">
  <dimension ref="A1:M17"/>
  <sheetViews>
    <sheetView workbookViewId="0">
      <selection activeCell="J9" sqref="J9"/>
    </sheetView>
  </sheetViews>
  <sheetFormatPr defaultRowHeight="14.5"/>
  <cols>
    <col min="2" max="2" width="24.90625" bestFit="1" customWidth="1"/>
    <col min="3" max="3" width="10.08984375" bestFit="1" customWidth="1"/>
    <col min="4" max="6" width="9.453125" bestFit="1" customWidth="1"/>
    <col min="11" max="11" width="15.6328125" bestFit="1" customWidth="1"/>
    <col min="12" max="12" width="17.81640625" bestFit="1" customWidth="1"/>
    <col min="13" max="13" width="10.54296875" bestFit="1" customWidth="1"/>
  </cols>
  <sheetData>
    <row r="1" spans="1:13" ht="15.5">
      <c r="A1" s="80" t="s">
        <v>0</v>
      </c>
      <c r="B1" s="80" t="s">
        <v>1</v>
      </c>
      <c r="C1" s="82" t="s">
        <v>16</v>
      </c>
      <c r="D1" s="45"/>
      <c r="E1" s="45"/>
      <c r="F1" s="45"/>
      <c r="G1" s="45"/>
      <c r="H1" s="45"/>
      <c r="I1" s="45"/>
      <c r="J1" s="46"/>
      <c r="K1" s="78" t="s">
        <v>3</v>
      </c>
      <c r="L1" s="78" t="s">
        <v>5</v>
      </c>
      <c r="M1" s="80" t="s">
        <v>6</v>
      </c>
    </row>
    <row r="2" spans="1:13" ht="15.5">
      <c r="A2" s="81"/>
      <c r="B2" s="81"/>
      <c r="C2" s="33">
        <v>46234</v>
      </c>
      <c r="D2" s="34"/>
      <c r="E2" s="34"/>
      <c r="F2" s="34"/>
      <c r="G2" s="34"/>
      <c r="H2" s="34"/>
      <c r="I2" s="35"/>
      <c r="J2" s="35"/>
      <c r="K2" s="81"/>
      <c r="L2" s="79"/>
      <c r="M2" s="81"/>
    </row>
    <row r="3" spans="1:13" ht="15.5">
      <c r="A3" s="1">
        <f>ROW()-ROW('Absensi APR - GPN B '!$A$1)</f>
        <v>2</v>
      </c>
      <c r="B3" s="16"/>
      <c r="C3" s="2"/>
      <c r="D3" s="2"/>
      <c r="E3" s="2"/>
      <c r="F3" s="2"/>
      <c r="G3" s="2"/>
      <c r="H3" s="2"/>
      <c r="I3" s="3"/>
      <c r="J3" s="3"/>
      <c r="K3" s="8">
        <f t="shared" ref="K3:K11" si="0">COUNTA(C3:J3)</f>
        <v>0</v>
      </c>
      <c r="L3" s="1">
        <v>4</v>
      </c>
      <c r="M3" s="9">
        <f t="shared" ref="M3:M11" si="1">K3/L3</f>
        <v>0</v>
      </c>
    </row>
    <row r="4" spans="1:13" ht="15.5">
      <c r="A4" s="1">
        <f>ROW()-ROW('Absensi APR - GPN B '!$A$1)</f>
        <v>3</v>
      </c>
      <c r="B4" s="10"/>
      <c r="C4" s="18"/>
      <c r="D4" s="18"/>
      <c r="E4" s="19"/>
      <c r="F4" s="2"/>
      <c r="G4" s="2"/>
      <c r="H4" s="2"/>
      <c r="I4" s="3"/>
      <c r="J4" s="3"/>
      <c r="K4" s="8">
        <f t="shared" si="0"/>
        <v>0</v>
      </c>
      <c r="L4" s="1">
        <v>4</v>
      </c>
      <c r="M4" s="9">
        <f t="shared" si="1"/>
        <v>0</v>
      </c>
    </row>
    <row r="5" spans="1:13" ht="15.5">
      <c r="A5" s="1">
        <f>ROW()-ROW('Absensi APR - GPN B '!$A$1)</f>
        <v>4</v>
      </c>
      <c r="B5" s="4"/>
      <c r="C5" s="17"/>
      <c r="D5" s="18"/>
      <c r="E5" s="18"/>
      <c r="F5" s="2"/>
      <c r="G5" s="2"/>
      <c r="H5" s="2"/>
      <c r="I5" s="3"/>
      <c r="J5" s="3"/>
      <c r="K5" s="8">
        <f t="shared" si="0"/>
        <v>0</v>
      </c>
      <c r="L5" s="1">
        <v>4</v>
      </c>
      <c r="M5" s="9">
        <f t="shared" si="1"/>
        <v>0</v>
      </c>
    </row>
    <row r="6" spans="1:13" ht="15.5">
      <c r="A6" s="1">
        <f>ROW()-ROW('Absensi APR - GPN B '!$A$1)</f>
        <v>5</v>
      </c>
      <c r="B6" s="4"/>
      <c r="C6" s="17"/>
      <c r="D6" s="18"/>
      <c r="E6" s="18"/>
      <c r="F6" s="2"/>
      <c r="G6" s="2"/>
      <c r="H6" s="2"/>
      <c r="I6" s="3"/>
      <c r="J6" s="3"/>
      <c r="K6" s="8">
        <f t="shared" si="0"/>
        <v>0</v>
      </c>
      <c r="L6" s="1">
        <v>4</v>
      </c>
      <c r="M6" s="9">
        <f t="shared" si="1"/>
        <v>0</v>
      </c>
    </row>
    <row r="7" spans="1:13" ht="15.5">
      <c r="A7" s="1">
        <f>ROW()-ROW('Absensi APR - GPN B '!$A$1)</f>
        <v>6</v>
      </c>
      <c r="B7" s="4"/>
      <c r="C7" s="17"/>
      <c r="D7" s="18"/>
      <c r="E7" s="18"/>
      <c r="F7" s="2"/>
      <c r="G7" s="2"/>
      <c r="H7" s="2"/>
      <c r="I7" s="3"/>
      <c r="J7" s="3"/>
      <c r="K7" s="8">
        <f t="shared" si="0"/>
        <v>0</v>
      </c>
      <c r="L7" s="1">
        <v>4</v>
      </c>
      <c r="M7" s="9">
        <f t="shared" si="1"/>
        <v>0</v>
      </c>
    </row>
    <row r="8" spans="1:13" ht="15.5">
      <c r="A8" s="1">
        <f>ROW()-ROW('Absensi APR - GPN B '!$A$1)</f>
        <v>7</v>
      </c>
      <c r="B8" s="4"/>
      <c r="C8" s="17"/>
      <c r="D8" s="18"/>
      <c r="E8" s="18"/>
      <c r="F8" s="2"/>
      <c r="G8" s="2"/>
      <c r="H8" s="2"/>
      <c r="I8" s="3"/>
      <c r="J8" s="3"/>
      <c r="K8" s="8">
        <f t="shared" si="0"/>
        <v>0</v>
      </c>
      <c r="L8" s="1">
        <v>4</v>
      </c>
      <c r="M8" s="9">
        <f t="shared" si="1"/>
        <v>0</v>
      </c>
    </row>
    <row r="9" spans="1:13" ht="15.5">
      <c r="A9" s="1">
        <f>ROW()-ROW('Absensi APR - GPN B '!$A$1)</f>
        <v>8</v>
      </c>
      <c r="B9" s="10"/>
      <c r="C9" s="5"/>
      <c r="D9" s="2"/>
      <c r="E9" s="2"/>
      <c r="F9" s="2"/>
      <c r="G9" s="2"/>
      <c r="H9" s="2"/>
      <c r="I9" s="3"/>
      <c r="J9" s="3"/>
      <c r="K9" s="8">
        <f t="shared" si="0"/>
        <v>0</v>
      </c>
      <c r="L9" s="1">
        <v>4</v>
      </c>
      <c r="M9" s="9">
        <f t="shared" si="1"/>
        <v>0</v>
      </c>
    </row>
    <row r="10" spans="1:13" ht="15.5">
      <c r="A10" s="1">
        <f>ROW()-ROW('Absensi APR - GPN B '!$A$1)</f>
        <v>9</v>
      </c>
      <c r="B10" s="10"/>
      <c r="C10" s="5"/>
      <c r="D10" s="2"/>
      <c r="E10" s="2"/>
      <c r="F10" s="2"/>
      <c r="G10" s="2"/>
      <c r="H10" s="2"/>
      <c r="I10" s="3"/>
      <c r="J10" s="3"/>
      <c r="K10" s="8">
        <f t="shared" si="0"/>
        <v>0</v>
      </c>
      <c r="L10" s="1">
        <v>4</v>
      </c>
      <c r="M10" s="9">
        <f t="shared" si="1"/>
        <v>0</v>
      </c>
    </row>
    <row r="11" spans="1:13" ht="15.5">
      <c r="A11" s="11">
        <f>ROW()-ROW('Absensi APR - GPN B '!$A$1)</f>
        <v>10</v>
      </c>
      <c r="B11" s="10"/>
      <c r="C11" s="5"/>
      <c r="D11" s="2"/>
      <c r="E11" s="2"/>
      <c r="F11" s="2"/>
      <c r="G11" s="2"/>
      <c r="H11" s="3"/>
      <c r="I11" s="3"/>
      <c r="J11" s="3"/>
      <c r="K11" s="8">
        <f t="shared" si="0"/>
        <v>0</v>
      </c>
      <c r="L11" s="1">
        <v>4</v>
      </c>
      <c r="M11" s="9">
        <f t="shared" si="1"/>
        <v>0</v>
      </c>
    </row>
    <row r="12" spans="1:13" ht="15.5">
      <c r="A12" s="44" t="s">
        <v>11</v>
      </c>
      <c r="B12" s="45"/>
      <c r="C12" s="45"/>
      <c r="D12" s="45"/>
      <c r="E12" s="45"/>
      <c r="F12" s="45"/>
      <c r="G12" s="45"/>
      <c r="H12" s="45"/>
      <c r="I12" s="45"/>
      <c r="J12" s="46"/>
      <c r="K12" s="36">
        <f>SUM(K3:K11)</f>
        <v>0</v>
      </c>
      <c r="L12" s="35">
        <f>SUM(L3:L11)</f>
        <v>36</v>
      </c>
      <c r="M12" s="37">
        <f>AVERAGE(M4:M11)</f>
        <v>0</v>
      </c>
    </row>
    <row r="15" spans="1:13">
      <c r="B15" s="30" t="s">
        <v>20</v>
      </c>
    </row>
    <row r="16" spans="1:13">
      <c r="B16" s="31" t="s">
        <v>18</v>
      </c>
    </row>
    <row r="17" spans="2:2">
      <c r="B17" s="32" t="s">
        <v>19</v>
      </c>
    </row>
  </sheetData>
  <mergeCells count="7">
    <mergeCell ref="L1:L2"/>
    <mergeCell ref="M1:M2"/>
    <mergeCell ref="A12:J12"/>
    <mergeCell ref="A1:A2"/>
    <mergeCell ref="B1:B2"/>
    <mergeCell ref="C1:J1"/>
    <mergeCell ref="K1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E6760-D8AE-4197-A803-326E53AA324C}">
  <dimension ref="A1:L1024"/>
  <sheetViews>
    <sheetView topLeftCell="A49" workbookViewId="0">
      <selection activeCell="D63" sqref="D63"/>
    </sheetView>
  </sheetViews>
  <sheetFormatPr defaultColWidth="14.453125" defaultRowHeight="14.5"/>
  <cols>
    <col min="1" max="1" width="8.81640625" customWidth="1"/>
    <col min="2" max="2" width="42.453125" customWidth="1"/>
    <col min="3" max="3" width="24.453125" customWidth="1"/>
    <col min="4" max="12" width="20.7265625" customWidth="1"/>
    <col min="13" max="26" width="8.81640625" customWidth="1"/>
  </cols>
  <sheetData>
    <row r="1" spans="1:12" ht="15.75" customHeight="1">
      <c r="A1" s="84" t="s">
        <v>0</v>
      </c>
      <c r="B1" s="84" t="s">
        <v>1</v>
      </c>
      <c r="C1" s="85" t="s">
        <v>7</v>
      </c>
      <c r="D1" s="83" t="s">
        <v>4</v>
      </c>
      <c r="E1" s="62"/>
      <c r="F1" s="62"/>
      <c r="G1" s="62"/>
      <c r="H1" s="62"/>
      <c r="I1" s="63"/>
      <c r="J1" s="64" t="s">
        <v>2</v>
      </c>
      <c r="K1" s="64" t="s">
        <v>5</v>
      </c>
      <c r="L1" s="66" t="s">
        <v>6</v>
      </c>
    </row>
    <row r="2" spans="1:12" ht="15.75" customHeight="1">
      <c r="A2" s="84"/>
      <c r="B2" s="84"/>
      <c r="C2" s="86"/>
      <c r="D2" s="41">
        <v>46234</v>
      </c>
      <c r="E2" s="25"/>
      <c r="F2" s="25"/>
      <c r="G2" s="25"/>
      <c r="H2" s="25"/>
      <c r="I2" s="25"/>
      <c r="J2" s="65"/>
      <c r="K2" s="65"/>
      <c r="L2" s="65"/>
    </row>
    <row r="3" spans="1:12" ht="15.75" customHeight="1">
      <c r="A3" s="38">
        <f>ROW()-ROW($A$2)</f>
        <v>1</v>
      </c>
      <c r="B3" s="39"/>
      <c r="C3" s="40" t="s">
        <v>8</v>
      </c>
      <c r="D3" s="7"/>
      <c r="E3" s="2"/>
      <c r="F3" s="2"/>
      <c r="G3" s="2"/>
      <c r="H3" s="2"/>
      <c r="I3" s="2"/>
      <c r="J3" s="6">
        <f t="shared" ref="J3:J17" si="0">COUNTA(D3:I3)</f>
        <v>0</v>
      </c>
      <c r="K3" s="3">
        <v>4</v>
      </c>
      <c r="L3" s="9">
        <f t="shared" ref="L3:L17" si="1">J3/K3</f>
        <v>0</v>
      </c>
    </row>
    <row r="4" spans="1:12" ht="15.75" customHeight="1">
      <c r="A4" s="38">
        <f t="shared" ref="A4:A17" si="2">ROW()-ROW($A$2)</f>
        <v>2</v>
      </c>
      <c r="B4" s="39"/>
      <c r="C4" s="40" t="s">
        <v>8</v>
      </c>
      <c r="D4" s="7"/>
      <c r="E4" s="2"/>
      <c r="F4" s="2"/>
      <c r="G4" s="2"/>
      <c r="H4" s="2"/>
      <c r="I4" s="2"/>
      <c r="J4" s="6">
        <f t="shared" si="0"/>
        <v>0</v>
      </c>
      <c r="K4" s="3">
        <v>4</v>
      </c>
      <c r="L4" s="9">
        <f t="shared" si="1"/>
        <v>0</v>
      </c>
    </row>
    <row r="5" spans="1:12" ht="15.75" customHeight="1">
      <c r="A5" s="38">
        <f t="shared" si="2"/>
        <v>3</v>
      </c>
      <c r="B5" s="39"/>
      <c r="C5" s="40" t="s">
        <v>8</v>
      </c>
      <c r="D5" s="7"/>
      <c r="E5" s="2"/>
      <c r="F5" s="2"/>
      <c r="G5" s="2"/>
      <c r="H5" s="2"/>
      <c r="I5" s="2"/>
      <c r="J5" s="6">
        <f t="shared" si="0"/>
        <v>0</v>
      </c>
      <c r="K5" s="3">
        <v>4</v>
      </c>
      <c r="L5" s="9">
        <f t="shared" si="1"/>
        <v>0</v>
      </c>
    </row>
    <row r="6" spans="1:12" ht="15.75" customHeight="1">
      <c r="A6" s="38">
        <f t="shared" si="2"/>
        <v>4</v>
      </c>
      <c r="B6" s="39"/>
      <c r="C6" s="40" t="s">
        <v>21</v>
      </c>
      <c r="D6" s="7"/>
      <c r="E6" s="2"/>
      <c r="F6" s="2"/>
      <c r="G6" s="2"/>
      <c r="H6" s="2"/>
      <c r="I6" s="2"/>
      <c r="J6" s="6">
        <f t="shared" si="0"/>
        <v>0</v>
      </c>
      <c r="K6" s="3">
        <v>4</v>
      </c>
      <c r="L6" s="9">
        <f t="shared" si="1"/>
        <v>0</v>
      </c>
    </row>
    <row r="7" spans="1:12" ht="15.75" customHeight="1">
      <c r="A7" s="38">
        <f t="shared" si="2"/>
        <v>5</v>
      </c>
      <c r="B7" s="39"/>
      <c r="C7" s="40" t="s">
        <v>22</v>
      </c>
      <c r="D7" s="7"/>
      <c r="E7" s="2"/>
      <c r="F7" s="2"/>
      <c r="G7" s="2"/>
      <c r="H7" s="2"/>
      <c r="I7" s="2"/>
      <c r="J7" s="6">
        <f t="shared" si="0"/>
        <v>0</v>
      </c>
      <c r="K7" s="3">
        <v>4</v>
      </c>
      <c r="L7" s="9">
        <f t="shared" si="1"/>
        <v>0</v>
      </c>
    </row>
    <row r="8" spans="1:12" ht="15.75" customHeight="1">
      <c r="A8" s="38">
        <f t="shared" si="2"/>
        <v>6</v>
      </c>
      <c r="B8" s="39"/>
      <c r="C8" s="40" t="s">
        <v>23</v>
      </c>
      <c r="D8" s="7"/>
      <c r="E8" s="2"/>
      <c r="F8" s="2"/>
      <c r="G8" s="2"/>
      <c r="H8" s="2"/>
      <c r="I8" s="2"/>
      <c r="J8" s="6">
        <f t="shared" si="0"/>
        <v>0</v>
      </c>
      <c r="K8" s="3">
        <v>4</v>
      </c>
      <c r="L8" s="9">
        <f t="shared" si="1"/>
        <v>0</v>
      </c>
    </row>
    <row r="9" spans="1:12" ht="15.75" customHeight="1">
      <c r="A9" s="38">
        <f t="shared" si="2"/>
        <v>7</v>
      </c>
      <c r="B9" s="39"/>
      <c r="C9" s="40" t="s">
        <v>24</v>
      </c>
      <c r="D9" s="7"/>
      <c r="E9" s="2"/>
      <c r="F9" s="2"/>
      <c r="G9" s="2"/>
      <c r="H9" s="2"/>
      <c r="I9" s="2"/>
      <c r="J9" s="6">
        <f t="shared" si="0"/>
        <v>0</v>
      </c>
      <c r="K9" s="3">
        <v>4</v>
      </c>
      <c r="L9" s="9">
        <f t="shared" si="1"/>
        <v>0</v>
      </c>
    </row>
    <row r="10" spans="1:12" ht="15.75" customHeight="1">
      <c r="A10" s="38">
        <f t="shared" si="2"/>
        <v>8</v>
      </c>
      <c r="B10" s="39"/>
      <c r="C10" s="40" t="s">
        <v>25</v>
      </c>
      <c r="D10" s="7"/>
      <c r="E10" s="2"/>
      <c r="F10" s="2"/>
      <c r="G10" s="2"/>
      <c r="H10" s="2"/>
      <c r="I10" s="2"/>
      <c r="J10" s="6">
        <f t="shared" si="0"/>
        <v>0</v>
      </c>
      <c r="K10" s="3">
        <v>4</v>
      </c>
      <c r="L10" s="9">
        <f t="shared" si="1"/>
        <v>0</v>
      </c>
    </row>
    <row r="11" spans="1:12" ht="15.75" customHeight="1">
      <c r="A11" s="38">
        <f t="shared" si="2"/>
        <v>9</v>
      </c>
      <c r="B11" s="39"/>
      <c r="C11" s="40" t="s">
        <v>26</v>
      </c>
      <c r="D11" s="7"/>
      <c r="E11" s="2"/>
      <c r="F11" s="2"/>
      <c r="G11" s="2"/>
      <c r="H11" s="2"/>
      <c r="I11" s="2"/>
      <c r="J11" s="6">
        <f t="shared" si="0"/>
        <v>0</v>
      </c>
      <c r="K11" s="3">
        <v>4</v>
      </c>
      <c r="L11" s="9">
        <f t="shared" si="1"/>
        <v>0</v>
      </c>
    </row>
    <row r="12" spans="1:12" ht="15.75" customHeight="1">
      <c r="A12" s="38">
        <f t="shared" si="2"/>
        <v>10</v>
      </c>
      <c r="B12" s="39"/>
      <c r="C12" s="40" t="s">
        <v>27</v>
      </c>
      <c r="D12" s="7"/>
      <c r="E12" s="2"/>
      <c r="F12" s="2"/>
      <c r="G12" s="2"/>
      <c r="H12" s="2"/>
      <c r="I12" s="2"/>
      <c r="J12" s="6">
        <f t="shared" si="0"/>
        <v>0</v>
      </c>
      <c r="K12" s="3">
        <v>4</v>
      </c>
      <c r="L12" s="9">
        <f t="shared" si="1"/>
        <v>0</v>
      </c>
    </row>
    <row r="13" spans="1:12" ht="15.75" customHeight="1">
      <c r="A13" s="38">
        <f t="shared" si="2"/>
        <v>11</v>
      </c>
      <c r="B13" s="39"/>
      <c r="C13" s="40" t="s">
        <v>8</v>
      </c>
      <c r="D13" s="7"/>
      <c r="E13" s="2"/>
      <c r="F13" s="2"/>
      <c r="G13" s="2"/>
      <c r="H13" s="2"/>
      <c r="I13" s="2"/>
      <c r="J13" s="6">
        <f t="shared" si="0"/>
        <v>0</v>
      </c>
      <c r="K13" s="3">
        <v>4</v>
      </c>
      <c r="L13" s="9">
        <f t="shared" si="1"/>
        <v>0</v>
      </c>
    </row>
    <row r="14" spans="1:12" ht="15.75" customHeight="1">
      <c r="A14" s="38">
        <f t="shared" si="2"/>
        <v>12</v>
      </c>
      <c r="B14" s="39"/>
      <c r="C14" s="40" t="s">
        <v>8</v>
      </c>
      <c r="D14" s="7"/>
      <c r="E14" s="2"/>
      <c r="F14" s="2"/>
      <c r="G14" s="2"/>
      <c r="H14" s="2"/>
      <c r="I14" s="2"/>
      <c r="J14" s="6">
        <f t="shared" si="0"/>
        <v>0</v>
      </c>
      <c r="K14" s="3">
        <v>4</v>
      </c>
      <c r="L14" s="9">
        <f t="shared" si="1"/>
        <v>0</v>
      </c>
    </row>
    <row r="15" spans="1:12" ht="15.75" customHeight="1">
      <c r="A15" s="38">
        <f t="shared" si="2"/>
        <v>13</v>
      </c>
      <c r="B15" s="39"/>
      <c r="C15" s="40" t="s">
        <v>8</v>
      </c>
      <c r="D15" s="7"/>
      <c r="E15" s="2"/>
      <c r="F15" s="2"/>
      <c r="G15" s="2"/>
      <c r="H15" s="2"/>
      <c r="I15" s="2"/>
      <c r="J15" s="6">
        <f t="shared" si="0"/>
        <v>0</v>
      </c>
      <c r="K15" s="3">
        <v>4</v>
      </c>
      <c r="L15" s="9">
        <f t="shared" si="1"/>
        <v>0</v>
      </c>
    </row>
    <row r="16" spans="1:12" ht="15.75" customHeight="1">
      <c r="A16" s="38">
        <f t="shared" si="2"/>
        <v>14</v>
      </c>
      <c r="B16" s="4"/>
      <c r="C16" s="5" t="s">
        <v>8</v>
      </c>
      <c r="D16" s="7"/>
      <c r="E16" s="2"/>
      <c r="F16" s="2"/>
      <c r="G16" s="2"/>
      <c r="H16" s="2"/>
      <c r="I16" s="2"/>
      <c r="J16" s="6">
        <f t="shared" si="0"/>
        <v>0</v>
      </c>
      <c r="K16" s="3">
        <v>4</v>
      </c>
      <c r="L16" s="9">
        <f t="shared" si="1"/>
        <v>0</v>
      </c>
    </row>
    <row r="17" spans="1:12" ht="15.75" customHeight="1">
      <c r="A17" s="38">
        <f t="shared" si="2"/>
        <v>15</v>
      </c>
      <c r="B17" s="4"/>
      <c r="C17" s="5" t="s">
        <v>8</v>
      </c>
      <c r="D17" s="7"/>
      <c r="E17" s="2"/>
      <c r="F17" s="2"/>
      <c r="G17" s="2"/>
      <c r="H17" s="2"/>
      <c r="I17" s="2"/>
      <c r="J17" s="6">
        <f t="shared" si="0"/>
        <v>0</v>
      </c>
      <c r="K17" s="3">
        <v>4</v>
      </c>
      <c r="L17" s="9">
        <f t="shared" si="1"/>
        <v>0</v>
      </c>
    </row>
    <row r="18" spans="1:12" ht="15.75" customHeight="1">
      <c r="A18" s="67" t="s">
        <v>9</v>
      </c>
      <c r="B18" s="48"/>
      <c r="C18" s="48"/>
      <c r="D18" s="48"/>
      <c r="E18" s="48"/>
      <c r="F18" s="48"/>
      <c r="G18" s="48"/>
      <c r="H18" s="48"/>
      <c r="I18" s="49"/>
      <c r="J18" s="60">
        <f t="shared" ref="J18:K18" si="3">SUM(J3:J17)</f>
        <v>0</v>
      </c>
      <c r="K18" s="60">
        <f t="shared" si="3"/>
        <v>60</v>
      </c>
      <c r="L18" s="61">
        <f>AVERAGE(L3:L17)</f>
        <v>0</v>
      </c>
    </row>
    <row r="19" spans="1:12" ht="15.75" customHeight="1">
      <c r="A19" s="50"/>
      <c r="B19" s="51"/>
      <c r="C19" s="51"/>
      <c r="D19" s="51"/>
      <c r="E19" s="51"/>
      <c r="F19" s="51"/>
      <c r="G19" s="51"/>
      <c r="H19" s="51"/>
      <c r="I19" s="52"/>
      <c r="J19" s="54"/>
      <c r="K19" s="54"/>
      <c r="L19" s="54"/>
    </row>
    <row r="20" spans="1:12" ht="15.75" customHeight="1">
      <c r="A20" s="1">
        <f>ROW()-ROW($A$19)</f>
        <v>1</v>
      </c>
      <c r="B20" s="16"/>
      <c r="C20" s="5" t="s">
        <v>10</v>
      </c>
      <c r="D20" s="7"/>
      <c r="E20" s="2"/>
      <c r="F20" s="2"/>
      <c r="G20" s="2"/>
      <c r="H20" s="2"/>
      <c r="I20" s="2"/>
      <c r="J20" s="6">
        <f t="shared" ref="J20:J29" si="4">COUNTA(D20:I20)</f>
        <v>0</v>
      </c>
      <c r="K20" s="3">
        <v>4</v>
      </c>
      <c r="L20" s="9">
        <f t="shared" ref="L20:L29" si="5">J20/K20</f>
        <v>0</v>
      </c>
    </row>
    <row r="21" spans="1:12" ht="15.75" customHeight="1">
      <c r="A21" s="1">
        <f>ROW()-ROW($A$19)</f>
        <v>2</v>
      </c>
      <c r="B21" s="16"/>
      <c r="C21" s="5" t="s">
        <v>10</v>
      </c>
      <c r="D21" s="7"/>
      <c r="E21" s="2"/>
      <c r="F21" s="2"/>
      <c r="G21" s="2"/>
      <c r="H21" s="2"/>
      <c r="I21" s="2"/>
      <c r="J21" s="6">
        <f t="shared" si="4"/>
        <v>0</v>
      </c>
      <c r="K21" s="3">
        <v>4</v>
      </c>
      <c r="L21" s="9">
        <f t="shared" si="5"/>
        <v>0</v>
      </c>
    </row>
    <row r="22" spans="1:12" ht="15.75" customHeight="1">
      <c r="A22" s="1">
        <f>ROW()-ROW($A$19)</f>
        <v>3</v>
      </c>
      <c r="B22" s="16"/>
      <c r="C22" s="5" t="s">
        <v>10</v>
      </c>
      <c r="D22" s="7"/>
      <c r="E22" s="2"/>
      <c r="F22" s="2"/>
      <c r="G22" s="2"/>
      <c r="H22" s="2"/>
      <c r="I22" s="2"/>
      <c r="J22" s="6">
        <f t="shared" si="4"/>
        <v>0</v>
      </c>
      <c r="K22" s="3">
        <v>4</v>
      </c>
      <c r="L22" s="9">
        <f t="shared" si="5"/>
        <v>0</v>
      </c>
    </row>
    <row r="23" spans="1:12" ht="15.75" customHeight="1">
      <c r="A23" s="1">
        <f>ROW()-ROW($A$19)</f>
        <v>4</v>
      </c>
      <c r="B23" s="16"/>
      <c r="C23" s="5" t="s">
        <v>10</v>
      </c>
      <c r="D23" s="7"/>
      <c r="E23" s="2"/>
      <c r="F23" s="2"/>
      <c r="G23" s="2"/>
      <c r="H23" s="2"/>
      <c r="I23" s="2"/>
      <c r="J23" s="6">
        <f t="shared" si="4"/>
        <v>0</v>
      </c>
      <c r="K23" s="3">
        <v>4</v>
      </c>
      <c r="L23" s="9">
        <f t="shared" si="5"/>
        <v>0</v>
      </c>
    </row>
    <row r="24" spans="1:12" ht="15.75" customHeight="1">
      <c r="A24" s="1">
        <f>ROW()-ROW($A$19)</f>
        <v>5</v>
      </c>
      <c r="B24" s="16"/>
      <c r="C24" s="5" t="s">
        <v>10</v>
      </c>
      <c r="D24" s="7"/>
      <c r="E24" s="2"/>
      <c r="F24" s="2"/>
      <c r="G24" s="2"/>
      <c r="H24" s="2"/>
      <c r="I24" s="2"/>
      <c r="J24" s="6">
        <f t="shared" si="4"/>
        <v>0</v>
      </c>
      <c r="K24" s="3">
        <v>4</v>
      </c>
      <c r="L24" s="9">
        <f t="shared" si="5"/>
        <v>0</v>
      </c>
    </row>
    <row r="25" spans="1:12" ht="15.75" customHeight="1">
      <c r="A25" s="1">
        <f>ROW()-ROW($A$19)</f>
        <v>6</v>
      </c>
      <c r="B25" s="10"/>
      <c r="C25" s="5" t="s">
        <v>10</v>
      </c>
      <c r="D25" s="2"/>
      <c r="E25" s="2"/>
      <c r="F25" s="2"/>
      <c r="G25" s="2"/>
      <c r="H25" s="2"/>
      <c r="I25" s="2"/>
      <c r="J25" s="6">
        <f t="shared" si="4"/>
        <v>0</v>
      </c>
      <c r="K25" s="3">
        <v>4</v>
      </c>
      <c r="L25" s="9">
        <f t="shared" si="5"/>
        <v>0</v>
      </c>
    </row>
    <row r="26" spans="1:12" ht="15.75" customHeight="1">
      <c r="A26" s="1">
        <f>ROW()-ROW($A$19)</f>
        <v>7</v>
      </c>
      <c r="B26" s="4"/>
      <c r="C26" s="5" t="s">
        <v>10</v>
      </c>
      <c r="D26" s="2"/>
      <c r="E26" s="2"/>
      <c r="F26" s="2"/>
      <c r="G26" s="2"/>
      <c r="H26" s="2"/>
      <c r="I26" s="2"/>
      <c r="J26" s="6">
        <f t="shared" si="4"/>
        <v>0</v>
      </c>
      <c r="K26" s="3">
        <v>4</v>
      </c>
      <c r="L26" s="9">
        <f t="shared" si="5"/>
        <v>0</v>
      </c>
    </row>
    <row r="27" spans="1:12" ht="15.75" customHeight="1">
      <c r="A27" s="1">
        <f>ROW()-ROW($A$19)</f>
        <v>8</v>
      </c>
      <c r="B27" s="4"/>
      <c r="C27" s="5" t="s">
        <v>10</v>
      </c>
      <c r="D27" s="2"/>
      <c r="E27" s="2"/>
      <c r="F27" s="2"/>
      <c r="G27" s="2"/>
      <c r="H27" s="2"/>
      <c r="I27" s="2"/>
      <c r="J27" s="6">
        <f t="shared" si="4"/>
        <v>0</v>
      </c>
      <c r="K27" s="3">
        <v>4</v>
      </c>
      <c r="L27" s="9">
        <f t="shared" si="5"/>
        <v>0</v>
      </c>
    </row>
    <row r="28" spans="1:12" ht="15" customHeight="1">
      <c r="A28" s="1">
        <f>ROW()-ROW($A$19)</f>
        <v>9</v>
      </c>
      <c r="B28" s="10"/>
      <c r="C28" s="5" t="s">
        <v>10</v>
      </c>
      <c r="D28" s="2"/>
      <c r="E28" s="2"/>
      <c r="F28" s="2"/>
      <c r="G28" s="2"/>
      <c r="H28" s="2"/>
      <c r="I28" s="2"/>
      <c r="J28" s="6">
        <f t="shared" si="4"/>
        <v>0</v>
      </c>
      <c r="K28" s="3">
        <v>4</v>
      </c>
      <c r="L28" s="9">
        <f t="shared" si="5"/>
        <v>0</v>
      </c>
    </row>
    <row r="29" spans="1:12" ht="15.75" customHeight="1">
      <c r="A29" s="1">
        <f>ROW()-ROW($A$19)</f>
        <v>10</v>
      </c>
      <c r="B29" s="10"/>
      <c r="C29" s="5" t="s">
        <v>10</v>
      </c>
      <c r="D29" s="2"/>
      <c r="E29" s="2"/>
      <c r="F29" s="2"/>
      <c r="G29" s="2"/>
      <c r="H29" s="2"/>
      <c r="I29" s="2"/>
      <c r="J29" s="6">
        <f t="shared" si="4"/>
        <v>0</v>
      </c>
      <c r="K29" s="3">
        <v>4</v>
      </c>
      <c r="L29" s="9">
        <f t="shared" si="5"/>
        <v>0</v>
      </c>
    </row>
    <row r="30" spans="1:12" ht="15.75" customHeight="1">
      <c r="A30" s="47" t="s">
        <v>13</v>
      </c>
      <c r="B30" s="48"/>
      <c r="C30" s="48"/>
      <c r="D30" s="48"/>
      <c r="E30" s="48"/>
      <c r="F30" s="48"/>
      <c r="G30" s="48"/>
      <c r="H30" s="48"/>
      <c r="I30" s="49"/>
      <c r="J30" s="53">
        <f t="shared" ref="J30:K30" si="6">SUM(J20:J29)</f>
        <v>0</v>
      </c>
      <c r="K30" s="53">
        <f t="shared" si="6"/>
        <v>40</v>
      </c>
      <c r="L30" s="55">
        <f>AVERAGE(L20:L29)</f>
        <v>0</v>
      </c>
    </row>
    <row r="31" spans="1:12" ht="15.75" customHeight="1">
      <c r="A31" s="50"/>
      <c r="B31" s="51"/>
      <c r="C31" s="51"/>
      <c r="D31" s="51"/>
      <c r="E31" s="51"/>
      <c r="F31" s="51"/>
      <c r="G31" s="51"/>
      <c r="H31" s="51"/>
      <c r="I31" s="52"/>
      <c r="J31" s="54"/>
      <c r="K31" s="54"/>
      <c r="L31" s="54"/>
    </row>
    <row r="32" spans="1:12" ht="15.75" customHeight="1">
      <c r="A32" s="1">
        <f>ROW()-ROW($A$31)</f>
        <v>1</v>
      </c>
      <c r="B32" s="12"/>
      <c r="C32" s="1" t="s">
        <v>12</v>
      </c>
      <c r="D32" s="3"/>
      <c r="E32" s="3"/>
      <c r="F32" s="3"/>
      <c r="G32" s="3"/>
      <c r="H32" s="3"/>
      <c r="I32" s="13"/>
      <c r="J32" s="6">
        <f t="shared" ref="J32:J47" si="7">COUNTA(D32:I32)</f>
        <v>0</v>
      </c>
      <c r="K32" s="3">
        <v>4</v>
      </c>
      <c r="L32" s="9">
        <f t="shared" ref="L32:L47" si="8">J32/K32</f>
        <v>0</v>
      </c>
    </row>
    <row r="33" spans="1:12" ht="15.75" customHeight="1">
      <c r="A33" s="1">
        <f>ROW()-ROW($A$31)</f>
        <v>2</v>
      </c>
      <c r="B33" s="12"/>
      <c r="C33" s="1" t="s">
        <v>12</v>
      </c>
      <c r="D33" s="3"/>
      <c r="E33" s="3"/>
      <c r="F33" s="3"/>
      <c r="G33" s="3"/>
      <c r="H33" s="3"/>
      <c r="I33" s="13"/>
      <c r="J33" s="6">
        <f t="shared" si="7"/>
        <v>0</v>
      </c>
      <c r="K33" s="3">
        <v>4</v>
      </c>
      <c r="L33" s="9">
        <f t="shared" si="8"/>
        <v>0</v>
      </c>
    </row>
    <row r="34" spans="1:12" ht="15.75" customHeight="1">
      <c r="A34" s="1">
        <f>ROW()-ROW($A$31)</f>
        <v>3</v>
      </c>
      <c r="B34" s="12"/>
      <c r="C34" s="1" t="s">
        <v>12</v>
      </c>
      <c r="D34" s="3"/>
      <c r="E34" s="3"/>
      <c r="F34" s="3"/>
      <c r="G34" s="3"/>
      <c r="H34" s="3"/>
      <c r="I34" s="13"/>
      <c r="J34" s="6">
        <f t="shared" si="7"/>
        <v>0</v>
      </c>
      <c r="K34" s="3">
        <v>4</v>
      </c>
      <c r="L34" s="9">
        <f t="shared" si="8"/>
        <v>0</v>
      </c>
    </row>
    <row r="35" spans="1:12" ht="15.75" customHeight="1">
      <c r="A35" s="1">
        <f>ROW()-ROW($A$31)</f>
        <v>4</v>
      </c>
      <c r="B35" s="12"/>
      <c r="C35" s="1" t="s">
        <v>12</v>
      </c>
      <c r="D35" s="3"/>
      <c r="E35" s="3"/>
      <c r="F35" s="3"/>
      <c r="G35" s="3"/>
      <c r="H35" s="3"/>
      <c r="I35" s="13"/>
      <c r="J35" s="6">
        <f t="shared" si="7"/>
        <v>0</v>
      </c>
      <c r="K35" s="3">
        <v>4</v>
      </c>
      <c r="L35" s="9">
        <f t="shared" si="8"/>
        <v>0</v>
      </c>
    </row>
    <row r="36" spans="1:12" ht="15.75" customHeight="1">
      <c r="A36" s="1">
        <f>ROW()-ROW($A$31)</f>
        <v>5</v>
      </c>
      <c r="B36" s="12"/>
      <c r="C36" s="1" t="s">
        <v>12</v>
      </c>
      <c r="D36" s="3"/>
      <c r="E36" s="3"/>
      <c r="F36" s="3"/>
      <c r="G36" s="3"/>
      <c r="H36" s="3"/>
      <c r="I36" s="13"/>
      <c r="J36" s="6">
        <f t="shared" si="7"/>
        <v>0</v>
      </c>
      <c r="K36" s="3">
        <v>4</v>
      </c>
      <c r="L36" s="9">
        <f t="shared" si="8"/>
        <v>0</v>
      </c>
    </row>
    <row r="37" spans="1:12" ht="15" customHeight="1">
      <c r="A37" s="1">
        <f>ROW()-ROW($A$31)</f>
        <v>6</v>
      </c>
      <c r="B37" s="12"/>
      <c r="C37" s="1" t="s">
        <v>12</v>
      </c>
      <c r="D37" s="3"/>
      <c r="E37" s="3"/>
      <c r="F37" s="3"/>
      <c r="G37" s="3"/>
      <c r="H37" s="3"/>
      <c r="I37" s="13"/>
      <c r="J37" s="6">
        <f t="shared" si="7"/>
        <v>0</v>
      </c>
      <c r="K37" s="3">
        <v>4</v>
      </c>
      <c r="L37" s="9">
        <f t="shared" si="8"/>
        <v>0</v>
      </c>
    </row>
    <row r="38" spans="1:12" ht="15.75" customHeight="1">
      <c r="A38" s="1">
        <f>ROW()-ROW($A$31)</f>
        <v>7</v>
      </c>
      <c r="B38" s="12"/>
      <c r="C38" s="1" t="s">
        <v>12</v>
      </c>
      <c r="D38" s="3"/>
      <c r="E38" s="3"/>
      <c r="F38" s="3"/>
      <c r="G38" s="3"/>
      <c r="H38" s="3"/>
      <c r="I38" s="13"/>
      <c r="J38" s="6">
        <f t="shared" si="7"/>
        <v>0</v>
      </c>
      <c r="K38" s="3">
        <v>4</v>
      </c>
      <c r="L38" s="9">
        <f t="shared" si="8"/>
        <v>0</v>
      </c>
    </row>
    <row r="39" spans="1:12" ht="15.75" customHeight="1">
      <c r="A39" s="1">
        <f>ROW()-ROW($A$31)</f>
        <v>8</v>
      </c>
      <c r="B39" s="12"/>
      <c r="C39" s="1" t="s">
        <v>12</v>
      </c>
      <c r="D39" s="3"/>
      <c r="E39" s="3"/>
      <c r="F39" s="3"/>
      <c r="G39" s="3"/>
      <c r="H39" s="3"/>
      <c r="I39" s="13"/>
      <c r="J39" s="6">
        <f t="shared" si="7"/>
        <v>0</v>
      </c>
      <c r="K39" s="3">
        <v>4</v>
      </c>
      <c r="L39" s="9">
        <f t="shared" si="8"/>
        <v>0</v>
      </c>
    </row>
    <row r="40" spans="1:12" ht="15.75" customHeight="1">
      <c r="A40" s="1">
        <f>ROW()-ROW($A$31)</f>
        <v>9</v>
      </c>
      <c r="B40" s="12"/>
      <c r="C40" s="1" t="s">
        <v>12</v>
      </c>
      <c r="D40" s="3"/>
      <c r="E40" s="3"/>
      <c r="F40" s="3"/>
      <c r="G40" s="3"/>
      <c r="H40" s="3"/>
      <c r="I40" s="13"/>
      <c r="J40" s="6">
        <f t="shared" si="7"/>
        <v>0</v>
      </c>
      <c r="K40" s="3">
        <v>4</v>
      </c>
      <c r="L40" s="9">
        <f t="shared" si="8"/>
        <v>0</v>
      </c>
    </row>
    <row r="41" spans="1:12" ht="15.75" customHeight="1">
      <c r="A41" s="1">
        <f>ROW()-ROW($A$31)</f>
        <v>10</v>
      </c>
      <c r="B41" s="12"/>
      <c r="C41" s="1" t="s">
        <v>12</v>
      </c>
      <c r="D41" s="3"/>
      <c r="E41" s="3"/>
      <c r="F41" s="3"/>
      <c r="G41" s="3"/>
      <c r="H41" s="3"/>
      <c r="I41" s="13"/>
      <c r="J41" s="6">
        <f t="shared" si="7"/>
        <v>0</v>
      </c>
      <c r="K41" s="3">
        <v>4</v>
      </c>
      <c r="L41" s="9">
        <f t="shared" si="8"/>
        <v>0</v>
      </c>
    </row>
    <row r="42" spans="1:12" ht="15.75" customHeight="1">
      <c r="A42" s="1">
        <f>ROW()-ROW($A$31)</f>
        <v>11</v>
      </c>
      <c r="B42" s="12"/>
      <c r="C42" s="1" t="s">
        <v>12</v>
      </c>
      <c r="D42" s="3"/>
      <c r="E42" s="3"/>
      <c r="F42" s="3"/>
      <c r="G42" s="3"/>
      <c r="H42" s="3"/>
      <c r="I42" s="13"/>
      <c r="J42" s="6">
        <f t="shared" si="7"/>
        <v>0</v>
      </c>
      <c r="K42" s="3">
        <v>4</v>
      </c>
      <c r="L42" s="9">
        <f t="shared" si="8"/>
        <v>0</v>
      </c>
    </row>
    <row r="43" spans="1:12" ht="15.75" customHeight="1">
      <c r="A43" s="1">
        <f>ROW()-ROW($A$31)</f>
        <v>12</v>
      </c>
      <c r="B43" s="12"/>
      <c r="C43" s="1" t="s">
        <v>12</v>
      </c>
      <c r="D43" s="3"/>
      <c r="E43" s="3"/>
      <c r="F43" s="3"/>
      <c r="G43" s="3"/>
      <c r="H43" s="3"/>
      <c r="I43" s="13"/>
      <c r="J43" s="6">
        <f t="shared" si="7"/>
        <v>0</v>
      </c>
      <c r="K43" s="3">
        <v>4</v>
      </c>
      <c r="L43" s="9">
        <f t="shared" si="8"/>
        <v>0</v>
      </c>
    </row>
    <row r="44" spans="1:12" ht="15.75" customHeight="1">
      <c r="A44" s="1">
        <f>ROW()-ROW($A$31)</f>
        <v>13</v>
      </c>
      <c r="B44" s="12"/>
      <c r="C44" s="1" t="s">
        <v>12</v>
      </c>
      <c r="D44" s="3"/>
      <c r="E44" s="3"/>
      <c r="F44" s="3"/>
      <c r="G44" s="3"/>
      <c r="H44" s="3"/>
      <c r="I44" s="13"/>
      <c r="J44" s="6">
        <f t="shared" si="7"/>
        <v>0</v>
      </c>
      <c r="K44" s="3">
        <v>4</v>
      </c>
      <c r="L44" s="9">
        <f t="shared" si="8"/>
        <v>0</v>
      </c>
    </row>
    <row r="45" spans="1:12" ht="15.75" customHeight="1">
      <c r="A45" s="1">
        <f>ROW()-ROW($A$31)</f>
        <v>14</v>
      </c>
      <c r="B45" s="12"/>
      <c r="C45" s="1" t="s">
        <v>12</v>
      </c>
      <c r="D45" s="3"/>
      <c r="E45" s="3"/>
      <c r="F45" s="3"/>
      <c r="G45" s="3"/>
      <c r="H45" s="3"/>
      <c r="I45" s="13"/>
      <c r="J45" s="6">
        <f t="shared" si="7"/>
        <v>0</v>
      </c>
      <c r="K45" s="3">
        <v>4</v>
      </c>
      <c r="L45" s="9">
        <f t="shared" si="8"/>
        <v>0</v>
      </c>
    </row>
    <row r="46" spans="1:12" ht="15.75" customHeight="1">
      <c r="A46" s="1">
        <f>ROW()-ROW($A$31)</f>
        <v>15</v>
      </c>
      <c r="B46" s="12"/>
      <c r="C46" s="1" t="s">
        <v>12</v>
      </c>
      <c r="D46" s="3"/>
      <c r="E46" s="3"/>
      <c r="F46" s="3"/>
      <c r="G46" s="3"/>
      <c r="H46" s="3"/>
      <c r="I46" s="13"/>
      <c r="J46" s="6">
        <f t="shared" si="7"/>
        <v>0</v>
      </c>
      <c r="K46" s="3">
        <v>4</v>
      </c>
      <c r="L46" s="9">
        <f t="shared" si="8"/>
        <v>0</v>
      </c>
    </row>
    <row r="47" spans="1:12" ht="15.75" customHeight="1">
      <c r="A47" s="1">
        <f>ROW()-ROW($A$31)</f>
        <v>16</v>
      </c>
      <c r="B47" s="12"/>
      <c r="C47" s="1" t="s">
        <v>12</v>
      </c>
      <c r="D47" s="3"/>
      <c r="E47" s="3"/>
      <c r="F47" s="3"/>
      <c r="G47" s="3"/>
      <c r="H47" s="3"/>
      <c r="I47" s="13"/>
      <c r="J47" s="6">
        <f t="shared" si="7"/>
        <v>0</v>
      </c>
      <c r="K47" s="3">
        <v>4</v>
      </c>
      <c r="L47" s="9">
        <f t="shared" si="8"/>
        <v>0</v>
      </c>
    </row>
    <row r="48" spans="1:12" ht="15.75" customHeight="1">
      <c r="A48" s="47" t="s">
        <v>13</v>
      </c>
      <c r="B48" s="48"/>
      <c r="C48" s="48"/>
      <c r="D48" s="48"/>
      <c r="E48" s="48"/>
      <c r="F48" s="48"/>
      <c r="G48" s="48"/>
      <c r="H48" s="48"/>
      <c r="I48" s="49"/>
      <c r="J48" s="56">
        <f t="shared" ref="J48:K48" si="9">SUM(J32:J47)</f>
        <v>0</v>
      </c>
      <c r="K48" s="56">
        <f t="shared" si="9"/>
        <v>64</v>
      </c>
      <c r="L48" s="55">
        <f>AVERAGE(L32:L47)</f>
        <v>0</v>
      </c>
    </row>
    <row r="49" spans="1:12" ht="15.75" customHeight="1">
      <c r="A49" s="50"/>
      <c r="B49" s="51"/>
      <c r="C49" s="51"/>
      <c r="D49" s="51"/>
      <c r="E49" s="51"/>
      <c r="F49" s="51"/>
      <c r="G49" s="51"/>
      <c r="H49" s="51"/>
      <c r="I49" s="52"/>
      <c r="J49" s="54"/>
      <c r="K49" s="54"/>
      <c r="L49" s="54"/>
    </row>
    <row r="50" spans="1:12" ht="15.75" customHeight="1">
      <c r="A50" s="5">
        <f>ROW()-ROW($A$49)</f>
        <v>1</v>
      </c>
      <c r="B50" s="10"/>
      <c r="C50" s="5" t="s">
        <v>14</v>
      </c>
      <c r="D50" s="17"/>
      <c r="E50" s="17"/>
      <c r="F50" s="17"/>
      <c r="G50" s="17"/>
      <c r="H50" s="5"/>
      <c r="I50" s="5"/>
      <c r="J50" s="6">
        <f t="shared" ref="J50:J64" si="10">COUNTA(D50:I50)</f>
        <v>0</v>
      </c>
      <c r="K50" s="3">
        <v>4</v>
      </c>
      <c r="L50" s="9">
        <f t="shared" ref="L50:L64" si="11">J50/K50</f>
        <v>0</v>
      </c>
    </row>
    <row r="51" spans="1:12" ht="15.75" customHeight="1">
      <c r="A51" s="5">
        <f>ROW()-ROW($A$49)</f>
        <v>2</v>
      </c>
      <c r="B51" s="12"/>
      <c r="C51" s="5" t="s">
        <v>14</v>
      </c>
      <c r="D51" s="17"/>
      <c r="E51" s="17"/>
      <c r="F51" s="17"/>
      <c r="G51" s="17"/>
      <c r="H51" s="5"/>
      <c r="I51" s="5"/>
      <c r="J51" s="6">
        <f t="shared" si="10"/>
        <v>0</v>
      </c>
      <c r="K51" s="3">
        <v>4</v>
      </c>
      <c r="L51" s="9">
        <f t="shared" si="11"/>
        <v>0</v>
      </c>
    </row>
    <row r="52" spans="1:12" ht="15.75" customHeight="1">
      <c r="A52" s="5">
        <f>ROW()-ROW($A$49)</f>
        <v>3</v>
      </c>
      <c r="B52" s="14"/>
      <c r="C52" s="5" t="s">
        <v>14</v>
      </c>
      <c r="D52" s="17"/>
      <c r="E52" s="17"/>
      <c r="F52" s="17"/>
      <c r="G52" s="17"/>
      <c r="H52" s="5"/>
      <c r="I52" s="5"/>
      <c r="J52" s="6">
        <f t="shared" si="10"/>
        <v>0</v>
      </c>
      <c r="K52" s="3">
        <v>4</v>
      </c>
      <c r="L52" s="9">
        <f t="shared" si="11"/>
        <v>0</v>
      </c>
    </row>
    <row r="53" spans="1:12" ht="15.75" customHeight="1">
      <c r="A53" s="5">
        <f>ROW()-ROW($A$49)</f>
        <v>4</v>
      </c>
      <c r="B53" s="14"/>
      <c r="C53" s="5" t="s">
        <v>14</v>
      </c>
      <c r="D53" s="17"/>
      <c r="E53" s="18"/>
      <c r="F53" s="17"/>
      <c r="G53" s="18"/>
      <c r="H53" s="5"/>
      <c r="I53" s="5"/>
      <c r="J53" s="6">
        <f t="shared" si="10"/>
        <v>0</v>
      </c>
      <c r="K53" s="3">
        <v>4</v>
      </c>
      <c r="L53" s="9">
        <f t="shared" si="11"/>
        <v>0</v>
      </c>
    </row>
    <row r="54" spans="1:12" ht="15.75" customHeight="1">
      <c r="A54" s="5">
        <f>ROW()-ROW($A$49)</f>
        <v>5</v>
      </c>
      <c r="B54" s="14"/>
      <c r="C54" s="5" t="s">
        <v>14</v>
      </c>
      <c r="D54" s="17"/>
      <c r="E54" s="17"/>
      <c r="F54" s="17"/>
      <c r="G54" s="17"/>
      <c r="H54" s="5"/>
      <c r="I54" s="5"/>
      <c r="J54" s="6">
        <f t="shared" si="10"/>
        <v>0</v>
      </c>
      <c r="K54" s="3">
        <v>4</v>
      </c>
      <c r="L54" s="9">
        <f t="shared" si="11"/>
        <v>0</v>
      </c>
    </row>
    <row r="55" spans="1:12" ht="15.75" customHeight="1">
      <c r="A55" s="5">
        <f>ROW()-ROW($A$49)</f>
        <v>6</v>
      </c>
      <c r="B55" s="12"/>
      <c r="C55" s="5" t="s">
        <v>14</v>
      </c>
      <c r="D55" s="17"/>
      <c r="E55" s="17"/>
      <c r="F55" s="17"/>
      <c r="G55" s="17"/>
      <c r="H55" s="5"/>
      <c r="I55" s="5"/>
      <c r="J55" s="6">
        <f t="shared" si="10"/>
        <v>0</v>
      </c>
      <c r="K55" s="3">
        <v>4</v>
      </c>
      <c r="L55" s="9">
        <f t="shared" si="11"/>
        <v>0</v>
      </c>
    </row>
    <row r="56" spans="1:12" ht="15.75" customHeight="1">
      <c r="A56" s="5">
        <f>ROW()-ROW($A$49)</f>
        <v>7</v>
      </c>
      <c r="B56" s="12"/>
      <c r="C56" s="5" t="s">
        <v>14</v>
      </c>
      <c r="D56" s="18"/>
      <c r="E56" s="17"/>
      <c r="F56" s="18"/>
      <c r="G56" s="18"/>
      <c r="H56" s="5"/>
      <c r="I56" s="5"/>
      <c r="J56" s="6">
        <f t="shared" si="10"/>
        <v>0</v>
      </c>
      <c r="K56" s="3">
        <v>4</v>
      </c>
      <c r="L56" s="9">
        <f t="shared" si="11"/>
        <v>0</v>
      </c>
    </row>
    <row r="57" spans="1:12" ht="15.75" customHeight="1">
      <c r="A57" s="5">
        <f>ROW()-ROW($A$49)</f>
        <v>8</v>
      </c>
      <c r="B57" s="12"/>
      <c r="C57" s="5" t="s">
        <v>14</v>
      </c>
      <c r="D57" s="18"/>
      <c r="E57" s="17"/>
      <c r="F57" s="18"/>
      <c r="G57" s="18"/>
      <c r="H57" s="5"/>
      <c r="I57" s="5"/>
      <c r="J57" s="6">
        <f t="shared" si="10"/>
        <v>0</v>
      </c>
      <c r="K57" s="3">
        <v>4</v>
      </c>
      <c r="L57" s="9">
        <f t="shared" si="11"/>
        <v>0</v>
      </c>
    </row>
    <row r="58" spans="1:12" ht="15.75" customHeight="1">
      <c r="A58" s="5">
        <f>ROW()-ROW($A$49)</f>
        <v>9</v>
      </c>
      <c r="B58" s="12"/>
      <c r="C58" s="5" t="s">
        <v>14</v>
      </c>
      <c r="D58" s="18"/>
      <c r="E58" s="17"/>
      <c r="F58" s="18"/>
      <c r="G58" s="18"/>
      <c r="H58" s="5"/>
      <c r="I58" s="5"/>
      <c r="J58" s="6">
        <f t="shared" si="10"/>
        <v>0</v>
      </c>
      <c r="K58" s="3">
        <v>4</v>
      </c>
      <c r="L58" s="9">
        <f t="shared" si="11"/>
        <v>0</v>
      </c>
    </row>
    <row r="59" spans="1:12" ht="15.75" customHeight="1">
      <c r="A59" s="5">
        <f>ROW()-ROW($A$49)</f>
        <v>10</v>
      </c>
      <c r="B59" s="12"/>
      <c r="C59" s="5" t="s">
        <v>14</v>
      </c>
      <c r="D59" s="18"/>
      <c r="E59" s="17"/>
      <c r="F59" s="18"/>
      <c r="G59" s="18"/>
      <c r="H59" s="5"/>
      <c r="I59" s="5"/>
      <c r="J59" s="6">
        <f t="shared" si="10"/>
        <v>0</v>
      </c>
      <c r="K59" s="3">
        <v>4</v>
      </c>
      <c r="L59" s="9">
        <f t="shared" si="11"/>
        <v>0</v>
      </c>
    </row>
    <row r="60" spans="1:12" ht="15.75" customHeight="1">
      <c r="A60" s="5">
        <f>ROW()-ROW($A$49)</f>
        <v>11</v>
      </c>
      <c r="B60" s="12"/>
      <c r="C60" s="5" t="s">
        <v>14</v>
      </c>
      <c r="D60" s="18"/>
      <c r="E60" s="17"/>
      <c r="F60" s="18"/>
      <c r="G60" s="18"/>
      <c r="H60" s="5"/>
      <c r="I60" s="5"/>
      <c r="J60" s="6">
        <f t="shared" si="10"/>
        <v>0</v>
      </c>
      <c r="K60" s="3">
        <v>4</v>
      </c>
      <c r="L60" s="9">
        <f t="shared" si="11"/>
        <v>0</v>
      </c>
    </row>
    <row r="61" spans="1:12" ht="15.75" customHeight="1">
      <c r="A61" s="5">
        <f>ROW()-ROW($A$49)</f>
        <v>12</v>
      </c>
      <c r="B61" s="12"/>
      <c r="C61" s="5" t="s">
        <v>14</v>
      </c>
      <c r="D61" s="18"/>
      <c r="E61" s="18"/>
      <c r="F61" s="17"/>
      <c r="G61" s="18"/>
      <c r="H61" s="5"/>
      <c r="I61" s="5"/>
      <c r="J61" s="6">
        <f t="shared" si="10"/>
        <v>0</v>
      </c>
      <c r="K61" s="3">
        <v>4</v>
      </c>
      <c r="L61" s="9">
        <f t="shared" si="11"/>
        <v>0</v>
      </c>
    </row>
    <row r="62" spans="1:12" ht="15.75" customHeight="1">
      <c r="A62" s="5">
        <f>ROW()-ROW($A$49)</f>
        <v>13</v>
      </c>
      <c r="B62" s="12"/>
      <c r="C62" s="5" t="s">
        <v>14</v>
      </c>
      <c r="D62" s="17"/>
      <c r="E62" s="17"/>
      <c r="F62" s="18"/>
      <c r="G62" s="17"/>
      <c r="H62" s="5"/>
      <c r="I62" s="5"/>
      <c r="J62" s="6">
        <f t="shared" si="10"/>
        <v>0</v>
      </c>
      <c r="K62" s="3">
        <v>4</v>
      </c>
      <c r="L62" s="9">
        <f t="shared" si="11"/>
        <v>0</v>
      </c>
    </row>
    <row r="63" spans="1:12" ht="15" customHeight="1">
      <c r="A63" s="5">
        <f>ROW()-ROW($A$49)</f>
        <v>14</v>
      </c>
      <c r="B63" s="14"/>
      <c r="C63" s="5" t="s">
        <v>14</v>
      </c>
      <c r="D63" s="17"/>
      <c r="E63" s="17"/>
      <c r="F63" s="17"/>
      <c r="G63" s="18"/>
      <c r="H63" s="5"/>
      <c r="I63" s="5"/>
      <c r="J63" s="6">
        <f t="shared" si="10"/>
        <v>0</v>
      </c>
      <c r="K63" s="3">
        <v>4</v>
      </c>
      <c r="L63" s="9">
        <f t="shared" si="11"/>
        <v>0</v>
      </c>
    </row>
    <row r="64" spans="1:12" ht="15" customHeight="1">
      <c r="A64" s="5">
        <f>ROW()-ROW($A$49)</f>
        <v>15</v>
      </c>
      <c r="B64" s="14"/>
      <c r="C64" s="5" t="s">
        <v>14</v>
      </c>
      <c r="D64" s="18"/>
      <c r="E64" s="17"/>
      <c r="F64" s="17"/>
      <c r="G64" s="18"/>
      <c r="H64" s="5"/>
      <c r="I64" s="5"/>
      <c r="J64" s="6">
        <f t="shared" si="10"/>
        <v>0</v>
      </c>
      <c r="K64" s="3">
        <v>4</v>
      </c>
      <c r="L64" s="9">
        <f t="shared" si="11"/>
        <v>0</v>
      </c>
    </row>
    <row r="65" spans="1:12" ht="15.75" customHeight="1">
      <c r="A65" s="57" t="s">
        <v>13</v>
      </c>
      <c r="B65" s="48"/>
      <c r="C65" s="48"/>
      <c r="D65" s="48"/>
      <c r="E65" s="48"/>
      <c r="F65" s="48"/>
      <c r="G65" s="48"/>
      <c r="H65" s="48"/>
      <c r="I65" s="49"/>
      <c r="J65" s="58">
        <f t="shared" ref="J65:K65" si="12">SUM(J50:J64)</f>
        <v>0</v>
      </c>
      <c r="K65" s="58">
        <f t="shared" si="12"/>
        <v>60</v>
      </c>
      <c r="L65" s="55">
        <f>AVERAGE(L50:L64)</f>
        <v>0</v>
      </c>
    </row>
    <row r="66" spans="1:12" ht="15.75" customHeight="1">
      <c r="A66" s="51"/>
      <c r="B66" s="51"/>
      <c r="C66" s="51"/>
      <c r="D66" s="51"/>
      <c r="E66" s="51"/>
      <c r="F66" s="51"/>
      <c r="G66" s="51"/>
      <c r="H66" s="51"/>
      <c r="I66" s="52"/>
      <c r="J66" s="59"/>
      <c r="K66" s="59"/>
      <c r="L66" s="54"/>
    </row>
    <row r="67" spans="1:12" ht="15.75" customHeight="1">
      <c r="A67" s="44" t="s">
        <v>15</v>
      </c>
      <c r="B67" s="45"/>
      <c r="C67" s="45"/>
      <c r="D67" s="45"/>
      <c r="E67" s="45"/>
      <c r="F67" s="45"/>
      <c r="G67" s="45"/>
      <c r="H67" s="45"/>
      <c r="I67" s="46"/>
      <c r="J67" s="15">
        <f t="shared" ref="J67:K67" si="13">SUM(J18+J30+J48+J65)</f>
        <v>0</v>
      </c>
      <c r="K67" s="15">
        <f t="shared" si="13"/>
        <v>224</v>
      </c>
      <c r="L67" s="9">
        <f>AVERAGE(L18,L30,L48,L65)</f>
        <v>0</v>
      </c>
    </row>
    <row r="68" spans="1:12" ht="15.75" customHeight="1"/>
    <row r="69" spans="1:12" ht="15.75" customHeight="1"/>
    <row r="70" spans="1:12" ht="15.75" customHeight="1">
      <c r="B70" s="30" t="s">
        <v>20</v>
      </c>
    </row>
    <row r="71" spans="1:12" ht="15.75" customHeight="1">
      <c r="B71" s="31" t="s">
        <v>18</v>
      </c>
    </row>
    <row r="72" spans="1:12" ht="15" customHeight="1">
      <c r="B72" s="32" t="s">
        <v>19</v>
      </c>
    </row>
    <row r="73" spans="1:12" ht="15.75" customHeight="1"/>
    <row r="75" spans="1:12" ht="15.75" customHeight="1"/>
    <row r="77" spans="1:12" ht="15.75" customHeight="1"/>
    <row r="78" spans="1:12" ht="15.75" customHeight="1"/>
    <row r="79" spans="1:12" ht="15.75" customHeight="1"/>
    <row r="80" spans="1:12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</sheetData>
  <mergeCells count="24">
    <mergeCell ref="A65:I66"/>
    <mergeCell ref="J65:J66"/>
    <mergeCell ref="K65:K66"/>
    <mergeCell ref="L65:L66"/>
    <mergeCell ref="A67:I67"/>
    <mergeCell ref="A30:I31"/>
    <mergeCell ref="J30:J31"/>
    <mergeCell ref="K30:K31"/>
    <mergeCell ref="L30:L31"/>
    <mergeCell ref="A48:I49"/>
    <mergeCell ref="J48:J49"/>
    <mergeCell ref="K48:K49"/>
    <mergeCell ref="L48:L49"/>
    <mergeCell ref="L1:L2"/>
    <mergeCell ref="D1:I1"/>
    <mergeCell ref="J1:J2"/>
    <mergeCell ref="A1:A2"/>
    <mergeCell ref="B1:B2"/>
    <mergeCell ref="K1:K2"/>
    <mergeCell ref="C1:C2"/>
    <mergeCell ref="A18:I19"/>
    <mergeCell ref="J18:J19"/>
    <mergeCell ref="K18:K19"/>
    <mergeCell ref="L18:L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2E18-42B6-4AEA-99EC-C0A09429BFEC}">
  <dimension ref="A1:L1024"/>
  <sheetViews>
    <sheetView workbookViewId="0">
      <selection activeCell="D12" sqref="D12"/>
    </sheetView>
  </sheetViews>
  <sheetFormatPr defaultColWidth="14.453125" defaultRowHeight="14.5"/>
  <cols>
    <col min="1" max="1" width="8.81640625" customWidth="1"/>
    <col min="2" max="2" width="42.453125" customWidth="1"/>
    <col min="3" max="3" width="24.453125" customWidth="1"/>
    <col min="4" max="12" width="20.7265625" customWidth="1"/>
    <col min="13" max="26" width="8.81640625" customWidth="1"/>
  </cols>
  <sheetData>
    <row r="1" spans="1:12" ht="15.75" customHeight="1">
      <c r="A1" s="84" t="s">
        <v>0</v>
      </c>
      <c r="B1" s="84" t="s">
        <v>1</v>
      </c>
      <c r="C1" s="85" t="s">
        <v>7</v>
      </c>
      <c r="D1" s="83" t="s">
        <v>4</v>
      </c>
      <c r="E1" s="62"/>
      <c r="F1" s="62"/>
      <c r="G1" s="62"/>
      <c r="H1" s="62"/>
      <c r="I1" s="63"/>
      <c r="J1" s="64" t="s">
        <v>2</v>
      </c>
      <c r="K1" s="64" t="s">
        <v>5</v>
      </c>
      <c r="L1" s="66" t="s">
        <v>6</v>
      </c>
    </row>
    <row r="2" spans="1:12" ht="15.75" customHeight="1">
      <c r="A2" s="84"/>
      <c r="B2" s="84"/>
      <c r="C2" s="86"/>
      <c r="D2" s="41">
        <v>46234</v>
      </c>
      <c r="E2" s="25"/>
      <c r="F2" s="25"/>
      <c r="G2" s="25"/>
      <c r="H2" s="25"/>
      <c r="I2" s="25"/>
      <c r="J2" s="65"/>
      <c r="K2" s="65"/>
      <c r="L2" s="65"/>
    </row>
    <row r="3" spans="1:12" ht="15.75" customHeight="1">
      <c r="A3" s="38">
        <f>ROW()-ROW($A$2)</f>
        <v>1</v>
      </c>
      <c r="B3" s="39"/>
      <c r="C3" s="40" t="s">
        <v>8</v>
      </c>
      <c r="D3" s="7"/>
      <c r="E3" s="2"/>
      <c r="F3" s="2"/>
      <c r="G3" s="2"/>
      <c r="H3" s="2"/>
      <c r="I3" s="2"/>
      <c r="J3" s="6">
        <f t="shared" ref="J3:J17" si="0">COUNTA(D3:I3)</f>
        <v>0</v>
      </c>
      <c r="K3" s="3">
        <v>4</v>
      </c>
      <c r="L3" s="9">
        <f t="shared" ref="L3:L17" si="1">J3/K3</f>
        <v>0</v>
      </c>
    </row>
    <row r="4" spans="1:12" ht="15.75" customHeight="1">
      <c r="A4" s="38">
        <f t="shared" ref="A4:A17" si="2">ROW()-ROW($A$2)</f>
        <v>2</v>
      </c>
      <c r="B4" s="39"/>
      <c r="C4" s="40" t="s">
        <v>8</v>
      </c>
      <c r="D4" s="7"/>
      <c r="E4" s="2"/>
      <c r="F4" s="2"/>
      <c r="G4" s="2"/>
      <c r="H4" s="2"/>
      <c r="I4" s="2"/>
      <c r="J4" s="6">
        <f t="shared" si="0"/>
        <v>0</v>
      </c>
      <c r="K4" s="3">
        <v>4</v>
      </c>
      <c r="L4" s="9">
        <f t="shared" si="1"/>
        <v>0</v>
      </c>
    </row>
    <row r="5" spans="1:12" ht="15.75" customHeight="1">
      <c r="A5" s="38">
        <f t="shared" si="2"/>
        <v>3</v>
      </c>
      <c r="B5" s="39"/>
      <c r="C5" s="40" t="s">
        <v>8</v>
      </c>
      <c r="D5" s="7"/>
      <c r="E5" s="2"/>
      <c r="F5" s="2"/>
      <c r="G5" s="2"/>
      <c r="H5" s="2"/>
      <c r="I5" s="2"/>
      <c r="J5" s="6">
        <f t="shared" si="0"/>
        <v>0</v>
      </c>
      <c r="K5" s="3">
        <v>4</v>
      </c>
      <c r="L5" s="9">
        <f t="shared" si="1"/>
        <v>0</v>
      </c>
    </row>
    <row r="6" spans="1:12" ht="15.75" customHeight="1">
      <c r="A6" s="38">
        <f t="shared" si="2"/>
        <v>4</v>
      </c>
      <c r="B6" s="39"/>
      <c r="C6" s="40" t="s">
        <v>8</v>
      </c>
      <c r="D6" s="7"/>
      <c r="E6" s="2"/>
      <c r="F6" s="2"/>
      <c r="G6" s="2"/>
      <c r="H6" s="2"/>
      <c r="I6" s="2"/>
      <c r="J6" s="6">
        <f t="shared" si="0"/>
        <v>0</v>
      </c>
      <c r="K6" s="3">
        <v>4</v>
      </c>
      <c r="L6" s="9">
        <f t="shared" si="1"/>
        <v>0</v>
      </c>
    </row>
    <row r="7" spans="1:12" ht="15.75" customHeight="1">
      <c r="A7" s="38">
        <f t="shared" si="2"/>
        <v>5</v>
      </c>
      <c r="B7" s="39"/>
      <c r="C7" s="40" t="s">
        <v>8</v>
      </c>
      <c r="D7" s="7"/>
      <c r="E7" s="2"/>
      <c r="F7" s="2"/>
      <c r="G7" s="2"/>
      <c r="H7" s="2"/>
      <c r="I7" s="2"/>
      <c r="J7" s="6">
        <f t="shared" si="0"/>
        <v>0</v>
      </c>
      <c r="K7" s="3">
        <v>4</v>
      </c>
      <c r="L7" s="9">
        <f t="shared" si="1"/>
        <v>0</v>
      </c>
    </row>
    <row r="8" spans="1:12" ht="15.75" customHeight="1">
      <c r="A8" s="38">
        <f t="shared" si="2"/>
        <v>6</v>
      </c>
      <c r="B8" s="39"/>
      <c r="C8" s="40" t="s">
        <v>8</v>
      </c>
      <c r="D8" s="7"/>
      <c r="E8" s="2"/>
      <c r="F8" s="2"/>
      <c r="G8" s="2"/>
      <c r="H8" s="2"/>
      <c r="I8" s="2"/>
      <c r="J8" s="6">
        <f t="shared" si="0"/>
        <v>0</v>
      </c>
      <c r="K8" s="3">
        <v>4</v>
      </c>
      <c r="L8" s="9">
        <f t="shared" si="1"/>
        <v>0</v>
      </c>
    </row>
    <row r="9" spans="1:12" ht="15.75" customHeight="1">
      <c r="A9" s="38">
        <f t="shared" si="2"/>
        <v>7</v>
      </c>
      <c r="B9" s="39"/>
      <c r="C9" s="40" t="s">
        <v>8</v>
      </c>
      <c r="D9" s="7"/>
      <c r="E9" s="2"/>
      <c r="F9" s="2"/>
      <c r="G9" s="2"/>
      <c r="H9" s="2"/>
      <c r="I9" s="2"/>
      <c r="J9" s="6">
        <f t="shared" si="0"/>
        <v>0</v>
      </c>
      <c r="K9" s="3">
        <v>4</v>
      </c>
      <c r="L9" s="9">
        <f t="shared" si="1"/>
        <v>0</v>
      </c>
    </row>
    <row r="10" spans="1:12" ht="15.75" customHeight="1">
      <c r="A10" s="38">
        <f t="shared" si="2"/>
        <v>8</v>
      </c>
      <c r="B10" s="39"/>
      <c r="C10" s="40" t="s">
        <v>8</v>
      </c>
      <c r="D10" s="7"/>
      <c r="E10" s="2"/>
      <c r="F10" s="2"/>
      <c r="G10" s="2"/>
      <c r="H10" s="2"/>
      <c r="I10" s="2"/>
      <c r="J10" s="6">
        <f t="shared" si="0"/>
        <v>0</v>
      </c>
      <c r="K10" s="3">
        <v>4</v>
      </c>
      <c r="L10" s="9">
        <f t="shared" si="1"/>
        <v>0</v>
      </c>
    </row>
    <row r="11" spans="1:12" ht="15.75" customHeight="1">
      <c r="A11" s="38">
        <f t="shared" si="2"/>
        <v>9</v>
      </c>
      <c r="B11" s="39"/>
      <c r="C11" s="40" t="s">
        <v>8</v>
      </c>
      <c r="D11" s="7"/>
      <c r="E11" s="2"/>
      <c r="F11" s="2"/>
      <c r="G11" s="2"/>
      <c r="H11" s="2"/>
      <c r="I11" s="2"/>
      <c r="J11" s="6">
        <f t="shared" si="0"/>
        <v>0</v>
      </c>
      <c r="K11" s="3">
        <v>4</v>
      </c>
      <c r="L11" s="9">
        <f t="shared" si="1"/>
        <v>0</v>
      </c>
    </row>
    <row r="12" spans="1:12" ht="15.75" customHeight="1">
      <c r="A12" s="38">
        <f t="shared" si="2"/>
        <v>10</v>
      </c>
      <c r="B12" s="39"/>
      <c r="C12" s="40" t="s">
        <v>8</v>
      </c>
      <c r="D12" s="7"/>
      <c r="E12" s="2"/>
      <c r="F12" s="2"/>
      <c r="G12" s="2"/>
      <c r="H12" s="2"/>
      <c r="I12" s="2"/>
      <c r="J12" s="6">
        <f t="shared" si="0"/>
        <v>0</v>
      </c>
      <c r="K12" s="3">
        <v>4</v>
      </c>
      <c r="L12" s="9">
        <f t="shared" si="1"/>
        <v>0</v>
      </c>
    </row>
    <row r="13" spans="1:12" ht="15.75" customHeight="1">
      <c r="A13" s="38">
        <f t="shared" si="2"/>
        <v>11</v>
      </c>
      <c r="B13" s="39"/>
      <c r="C13" s="40" t="s">
        <v>8</v>
      </c>
      <c r="D13" s="7"/>
      <c r="E13" s="2"/>
      <c r="F13" s="2"/>
      <c r="G13" s="2"/>
      <c r="H13" s="2"/>
      <c r="I13" s="2"/>
      <c r="J13" s="6">
        <f t="shared" si="0"/>
        <v>0</v>
      </c>
      <c r="K13" s="3">
        <v>4</v>
      </c>
      <c r="L13" s="9">
        <f t="shared" si="1"/>
        <v>0</v>
      </c>
    </row>
    <row r="14" spans="1:12" ht="15.75" customHeight="1">
      <c r="A14" s="38">
        <f t="shared" si="2"/>
        <v>12</v>
      </c>
      <c r="B14" s="39"/>
      <c r="C14" s="40" t="s">
        <v>8</v>
      </c>
      <c r="D14" s="7"/>
      <c r="E14" s="2"/>
      <c r="F14" s="2"/>
      <c r="G14" s="2"/>
      <c r="H14" s="2"/>
      <c r="I14" s="2"/>
      <c r="J14" s="6">
        <f t="shared" si="0"/>
        <v>0</v>
      </c>
      <c r="K14" s="3">
        <v>4</v>
      </c>
      <c r="L14" s="9">
        <f t="shared" si="1"/>
        <v>0</v>
      </c>
    </row>
    <row r="15" spans="1:12" ht="15.75" customHeight="1">
      <c r="A15" s="38">
        <f t="shared" si="2"/>
        <v>13</v>
      </c>
      <c r="B15" s="39"/>
      <c r="C15" s="40" t="s">
        <v>8</v>
      </c>
      <c r="D15" s="7"/>
      <c r="E15" s="2"/>
      <c r="F15" s="2"/>
      <c r="G15" s="2"/>
      <c r="H15" s="2"/>
      <c r="I15" s="2"/>
      <c r="J15" s="6">
        <f t="shared" si="0"/>
        <v>0</v>
      </c>
      <c r="K15" s="3">
        <v>4</v>
      </c>
      <c r="L15" s="9">
        <f t="shared" si="1"/>
        <v>0</v>
      </c>
    </row>
    <row r="16" spans="1:12" ht="15.75" customHeight="1">
      <c r="A16" s="38">
        <f t="shared" si="2"/>
        <v>14</v>
      </c>
      <c r="B16" s="4"/>
      <c r="C16" s="5" t="s">
        <v>8</v>
      </c>
      <c r="D16" s="7"/>
      <c r="E16" s="2"/>
      <c r="F16" s="2"/>
      <c r="G16" s="2"/>
      <c r="H16" s="2"/>
      <c r="I16" s="2"/>
      <c r="J16" s="6">
        <f t="shared" si="0"/>
        <v>0</v>
      </c>
      <c r="K16" s="3">
        <v>4</v>
      </c>
      <c r="L16" s="9">
        <f t="shared" si="1"/>
        <v>0</v>
      </c>
    </row>
    <row r="17" spans="1:12" ht="15.75" customHeight="1">
      <c r="A17" s="38">
        <f t="shared" si="2"/>
        <v>15</v>
      </c>
      <c r="B17" s="4"/>
      <c r="C17" s="5" t="s">
        <v>8</v>
      </c>
      <c r="D17" s="7"/>
      <c r="E17" s="2"/>
      <c r="F17" s="2"/>
      <c r="G17" s="2"/>
      <c r="H17" s="2"/>
      <c r="I17" s="2"/>
      <c r="J17" s="6">
        <f t="shared" si="0"/>
        <v>0</v>
      </c>
      <c r="K17" s="3">
        <v>4</v>
      </c>
      <c r="L17" s="9">
        <f t="shared" si="1"/>
        <v>0</v>
      </c>
    </row>
    <row r="18" spans="1:12" ht="15.75" customHeight="1">
      <c r="A18" s="67" t="s">
        <v>9</v>
      </c>
      <c r="B18" s="48"/>
      <c r="C18" s="48"/>
      <c r="D18" s="48"/>
      <c r="E18" s="48"/>
      <c r="F18" s="48"/>
      <c r="G18" s="48"/>
      <c r="H18" s="48"/>
      <c r="I18" s="49"/>
      <c r="J18" s="60">
        <f t="shared" ref="J18:K18" si="3">SUM(J3:J17)</f>
        <v>0</v>
      </c>
      <c r="K18" s="60">
        <f t="shared" si="3"/>
        <v>60</v>
      </c>
      <c r="L18" s="61">
        <f>AVERAGE(L3:L17)</f>
        <v>0</v>
      </c>
    </row>
    <row r="19" spans="1:12" ht="15.75" customHeight="1">
      <c r="A19" s="50"/>
      <c r="B19" s="51"/>
      <c r="C19" s="51"/>
      <c r="D19" s="51"/>
      <c r="E19" s="51"/>
      <c r="F19" s="51"/>
      <c r="G19" s="51"/>
      <c r="H19" s="51"/>
      <c r="I19" s="52"/>
      <c r="J19" s="54"/>
      <c r="K19" s="54"/>
      <c r="L19" s="54"/>
    </row>
    <row r="20" spans="1:12" ht="15.75" customHeight="1">
      <c r="A20" s="1">
        <f>ROW()-ROW($A$19)</f>
        <v>1</v>
      </c>
      <c r="B20" s="16"/>
      <c r="C20" s="5" t="s">
        <v>10</v>
      </c>
      <c r="D20" s="7"/>
      <c r="E20" s="2"/>
      <c r="F20" s="2"/>
      <c r="G20" s="2"/>
      <c r="H20" s="2"/>
      <c r="I20" s="2"/>
      <c r="J20" s="6">
        <f t="shared" ref="J20:J29" si="4">COUNTA(D20:I20)</f>
        <v>0</v>
      </c>
      <c r="K20" s="3">
        <v>4</v>
      </c>
      <c r="L20" s="9">
        <f t="shared" ref="L20:L29" si="5">J20/K20</f>
        <v>0</v>
      </c>
    </row>
    <row r="21" spans="1:12" ht="15.75" customHeight="1">
      <c r="A21" s="1">
        <f>ROW()-ROW($A$19)</f>
        <v>2</v>
      </c>
      <c r="B21" s="16"/>
      <c r="C21" s="5" t="s">
        <v>10</v>
      </c>
      <c r="D21" s="7"/>
      <c r="E21" s="2"/>
      <c r="F21" s="2"/>
      <c r="G21" s="2"/>
      <c r="H21" s="2"/>
      <c r="I21" s="2"/>
      <c r="J21" s="6">
        <f t="shared" si="4"/>
        <v>0</v>
      </c>
      <c r="K21" s="3">
        <v>4</v>
      </c>
      <c r="L21" s="9">
        <f t="shared" si="5"/>
        <v>0</v>
      </c>
    </row>
    <row r="22" spans="1:12" ht="15.75" customHeight="1">
      <c r="A22" s="1">
        <f>ROW()-ROW($A$19)</f>
        <v>3</v>
      </c>
      <c r="B22" s="16"/>
      <c r="C22" s="5" t="s">
        <v>10</v>
      </c>
      <c r="D22" s="7"/>
      <c r="E22" s="2"/>
      <c r="F22" s="2"/>
      <c r="G22" s="2"/>
      <c r="H22" s="2"/>
      <c r="I22" s="2"/>
      <c r="J22" s="6">
        <f t="shared" si="4"/>
        <v>0</v>
      </c>
      <c r="K22" s="3">
        <v>4</v>
      </c>
      <c r="L22" s="9">
        <f t="shared" si="5"/>
        <v>0</v>
      </c>
    </row>
    <row r="23" spans="1:12" ht="15.75" customHeight="1">
      <c r="A23" s="1">
        <f>ROW()-ROW($A$19)</f>
        <v>4</v>
      </c>
      <c r="B23" s="16"/>
      <c r="C23" s="5" t="s">
        <v>10</v>
      </c>
      <c r="D23" s="7"/>
      <c r="E23" s="2"/>
      <c r="F23" s="2"/>
      <c r="G23" s="2"/>
      <c r="H23" s="2"/>
      <c r="I23" s="2"/>
      <c r="J23" s="6">
        <f t="shared" si="4"/>
        <v>0</v>
      </c>
      <c r="K23" s="3">
        <v>4</v>
      </c>
      <c r="L23" s="9">
        <f t="shared" si="5"/>
        <v>0</v>
      </c>
    </row>
    <row r="24" spans="1:12" ht="15.75" customHeight="1">
      <c r="A24" s="1">
        <f>ROW()-ROW($A$19)</f>
        <v>5</v>
      </c>
      <c r="B24" s="16"/>
      <c r="C24" s="5" t="s">
        <v>10</v>
      </c>
      <c r="D24" s="7"/>
      <c r="E24" s="2"/>
      <c r="F24" s="2"/>
      <c r="G24" s="2"/>
      <c r="H24" s="2"/>
      <c r="I24" s="2"/>
      <c r="J24" s="6">
        <f t="shared" si="4"/>
        <v>0</v>
      </c>
      <c r="K24" s="3">
        <v>4</v>
      </c>
      <c r="L24" s="9">
        <f t="shared" si="5"/>
        <v>0</v>
      </c>
    </row>
    <row r="25" spans="1:12" ht="15.75" customHeight="1">
      <c r="A25" s="1">
        <f>ROW()-ROW($A$19)</f>
        <v>6</v>
      </c>
      <c r="B25" s="10"/>
      <c r="C25" s="5" t="s">
        <v>10</v>
      </c>
      <c r="D25" s="2"/>
      <c r="E25" s="2"/>
      <c r="F25" s="2"/>
      <c r="G25" s="2"/>
      <c r="H25" s="2"/>
      <c r="I25" s="2"/>
      <c r="J25" s="6">
        <f t="shared" si="4"/>
        <v>0</v>
      </c>
      <c r="K25" s="3">
        <v>4</v>
      </c>
      <c r="L25" s="9">
        <f t="shared" si="5"/>
        <v>0</v>
      </c>
    </row>
    <row r="26" spans="1:12" ht="15.75" customHeight="1">
      <c r="A26" s="1">
        <f>ROW()-ROW($A$19)</f>
        <v>7</v>
      </c>
      <c r="B26" s="4"/>
      <c r="C26" s="5" t="s">
        <v>10</v>
      </c>
      <c r="D26" s="2"/>
      <c r="E26" s="2"/>
      <c r="F26" s="2"/>
      <c r="G26" s="2"/>
      <c r="H26" s="2"/>
      <c r="I26" s="2"/>
      <c r="J26" s="6">
        <f t="shared" si="4"/>
        <v>0</v>
      </c>
      <c r="K26" s="3">
        <v>4</v>
      </c>
      <c r="L26" s="9">
        <f t="shared" si="5"/>
        <v>0</v>
      </c>
    </row>
    <row r="27" spans="1:12" ht="15.75" customHeight="1">
      <c r="A27" s="1">
        <f>ROW()-ROW($A$19)</f>
        <v>8</v>
      </c>
      <c r="B27" s="4"/>
      <c r="C27" s="5" t="s">
        <v>10</v>
      </c>
      <c r="D27" s="2"/>
      <c r="E27" s="2"/>
      <c r="F27" s="2"/>
      <c r="G27" s="2"/>
      <c r="H27" s="2"/>
      <c r="I27" s="2"/>
      <c r="J27" s="6">
        <f t="shared" si="4"/>
        <v>0</v>
      </c>
      <c r="K27" s="3">
        <v>4</v>
      </c>
      <c r="L27" s="9">
        <f t="shared" si="5"/>
        <v>0</v>
      </c>
    </row>
    <row r="28" spans="1:12" ht="15" customHeight="1">
      <c r="A28" s="1">
        <f>ROW()-ROW($A$19)</f>
        <v>9</v>
      </c>
      <c r="B28" s="10"/>
      <c r="C28" s="5" t="s">
        <v>10</v>
      </c>
      <c r="D28" s="2"/>
      <c r="E28" s="2"/>
      <c r="F28" s="2"/>
      <c r="G28" s="2"/>
      <c r="H28" s="2"/>
      <c r="I28" s="2"/>
      <c r="J28" s="6">
        <f t="shared" si="4"/>
        <v>0</v>
      </c>
      <c r="K28" s="3">
        <v>4</v>
      </c>
      <c r="L28" s="9">
        <f t="shared" si="5"/>
        <v>0</v>
      </c>
    </row>
    <row r="29" spans="1:12" ht="15.75" customHeight="1">
      <c r="A29" s="1">
        <f>ROW()-ROW($A$19)</f>
        <v>10</v>
      </c>
      <c r="B29" s="10"/>
      <c r="C29" s="5" t="s">
        <v>10</v>
      </c>
      <c r="D29" s="2"/>
      <c r="E29" s="2"/>
      <c r="F29" s="2"/>
      <c r="G29" s="2"/>
      <c r="H29" s="2"/>
      <c r="I29" s="2"/>
      <c r="J29" s="6">
        <f t="shared" si="4"/>
        <v>0</v>
      </c>
      <c r="K29" s="3">
        <v>4</v>
      </c>
      <c r="L29" s="9">
        <f t="shared" si="5"/>
        <v>0</v>
      </c>
    </row>
    <row r="30" spans="1:12" ht="15.75" customHeight="1">
      <c r="A30" s="47" t="s">
        <v>13</v>
      </c>
      <c r="B30" s="48"/>
      <c r="C30" s="48"/>
      <c r="D30" s="48"/>
      <c r="E30" s="48"/>
      <c r="F30" s="48"/>
      <c r="G30" s="48"/>
      <c r="H30" s="48"/>
      <c r="I30" s="49"/>
      <c r="J30" s="53">
        <f t="shared" ref="J30:K30" si="6">SUM(J20:J29)</f>
        <v>0</v>
      </c>
      <c r="K30" s="53">
        <f t="shared" si="6"/>
        <v>40</v>
      </c>
      <c r="L30" s="55">
        <f>AVERAGE(L20:L29)</f>
        <v>0</v>
      </c>
    </row>
    <row r="31" spans="1:12" ht="15.75" customHeight="1">
      <c r="A31" s="50"/>
      <c r="B31" s="51"/>
      <c r="C31" s="51"/>
      <c r="D31" s="51"/>
      <c r="E31" s="51"/>
      <c r="F31" s="51"/>
      <c r="G31" s="51"/>
      <c r="H31" s="51"/>
      <c r="I31" s="52"/>
      <c r="J31" s="54"/>
      <c r="K31" s="54"/>
      <c r="L31" s="54"/>
    </row>
    <row r="32" spans="1:12" ht="15.75" customHeight="1">
      <c r="A32" s="1">
        <f>ROW()-ROW($A$31)</f>
        <v>1</v>
      </c>
      <c r="B32" s="12"/>
      <c r="C32" s="1" t="s">
        <v>12</v>
      </c>
      <c r="D32" s="3"/>
      <c r="E32" s="3"/>
      <c r="F32" s="3"/>
      <c r="G32" s="3"/>
      <c r="H32" s="3"/>
      <c r="I32" s="13"/>
      <c r="J32" s="6">
        <f t="shared" ref="J32:J47" si="7">COUNTA(D32:I32)</f>
        <v>0</v>
      </c>
      <c r="K32" s="3">
        <v>4</v>
      </c>
      <c r="L32" s="9">
        <f t="shared" ref="L32:L47" si="8">J32/K32</f>
        <v>0</v>
      </c>
    </row>
    <row r="33" spans="1:12" ht="15.75" customHeight="1">
      <c r="A33" s="1">
        <f>ROW()-ROW($A$31)</f>
        <v>2</v>
      </c>
      <c r="B33" s="12"/>
      <c r="C33" s="1" t="s">
        <v>12</v>
      </c>
      <c r="D33" s="3"/>
      <c r="E33" s="3"/>
      <c r="F33" s="3"/>
      <c r="G33" s="3"/>
      <c r="H33" s="3"/>
      <c r="I33" s="13"/>
      <c r="J33" s="6">
        <f t="shared" si="7"/>
        <v>0</v>
      </c>
      <c r="K33" s="3">
        <v>4</v>
      </c>
      <c r="L33" s="9">
        <f t="shared" si="8"/>
        <v>0</v>
      </c>
    </row>
    <row r="34" spans="1:12" ht="15.75" customHeight="1">
      <c r="A34" s="1">
        <f>ROW()-ROW($A$31)</f>
        <v>3</v>
      </c>
      <c r="B34" s="12"/>
      <c r="C34" s="1" t="s">
        <v>12</v>
      </c>
      <c r="D34" s="3"/>
      <c r="E34" s="3"/>
      <c r="F34" s="3"/>
      <c r="G34" s="3"/>
      <c r="H34" s="3"/>
      <c r="I34" s="13"/>
      <c r="J34" s="6">
        <f t="shared" si="7"/>
        <v>0</v>
      </c>
      <c r="K34" s="3">
        <v>4</v>
      </c>
      <c r="L34" s="9">
        <f t="shared" si="8"/>
        <v>0</v>
      </c>
    </row>
    <row r="35" spans="1:12" ht="15.75" customHeight="1">
      <c r="A35" s="1">
        <f>ROW()-ROW($A$31)</f>
        <v>4</v>
      </c>
      <c r="B35" s="12"/>
      <c r="C35" s="1" t="s">
        <v>12</v>
      </c>
      <c r="D35" s="3"/>
      <c r="E35" s="3"/>
      <c r="F35" s="3"/>
      <c r="G35" s="3"/>
      <c r="H35" s="3"/>
      <c r="I35" s="13"/>
      <c r="J35" s="6">
        <f t="shared" si="7"/>
        <v>0</v>
      </c>
      <c r="K35" s="3">
        <v>4</v>
      </c>
      <c r="L35" s="9">
        <f t="shared" si="8"/>
        <v>0</v>
      </c>
    </row>
    <row r="36" spans="1:12" ht="15.75" customHeight="1">
      <c r="A36" s="1">
        <f>ROW()-ROW($A$31)</f>
        <v>5</v>
      </c>
      <c r="B36" s="12"/>
      <c r="C36" s="1" t="s">
        <v>12</v>
      </c>
      <c r="D36" s="3"/>
      <c r="E36" s="3"/>
      <c r="F36" s="3"/>
      <c r="G36" s="3"/>
      <c r="H36" s="3"/>
      <c r="I36" s="13"/>
      <c r="J36" s="6">
        <f t="shared" si="7"/>
        <v>0</v>
      </c>
      <c r="K36" s="3">
        <v>4</v>
      </c>
      <c r="L36" s="9">
        <f t="shared" si="8"/>
        <v>0</v>
      </c>
    </row>
    <row r="37" spans="1:12" ht="15" customHeight="1">
      <c r="A37" s="1">
        <f>ROW()-ROW($A$31)</f>
        <v>6</v>
      </c>
      <c r="B37" s="12"/>
      <c r="C37" s="1" t="s">
        <v>12</v>
      </c>
      <c r="D37" s="3"/>
      <c r="E37" s="3"/>
      <c r="F37" s="3"/>
      <c r="G37" s="3"/>
      <c r="H37" s="3"/>
      <c r="I37" s="13"/>
      <c r="J37" s="6">
        <f t="shared" si="7"/>
        <v>0</v>
      </c>
      <c r="K37" s="3">
        <v>4</v>
      </c>
      <c r="L37" s="9">
        <f t="shared" si="8"/>
        <v>0</v>
      </c>
    </row>
    <row r="38" spans="1:12" ht="15.75" customHeight="1">
      <c r="A38" s="1">
        <f>ROW()-ROW($A$31)</f>
        <v>7</v>
      </c>
      <c r="B38" s="12"/>
      <c r="C38" s="1" t="s">
        <v>12</v>
      </c>
      <c r="D38" s="3"/>
      <c r="E38" s="3"/>
      <c r="F38" s="3"/>
      <c r="G38" s="3"/>
      <c r="H38" s="3"/>
      <c r="I38" s="13"/>
      <c r="J38" s="6">
        <f t="shared" si="7"/>
        <v>0</v>
      </c>
      <c r="K38" s="3">
        <v>4</v>
      </c>
      <c r="L38" s="9">
        <f t="shared" si="8"/>
        <v>0</v>
      </c>
    </row>
    <row r="39" spans="1:12" ht="15.75" customHeight="1">
      <c r="A39" s="1">
        <f>ROW()-ROW($A$31)</f>
        <v>8</v>
      </c>
      <c r="B39" s="12"/>
      <c r="C39" s="1" t="s">
        <v>12</v>
      </c>
      <c r="D39" s="3"/>
      <c r="E39" s="3"/>
      <c r="F39" s="3"/>
      <c r="G39" s="3"/>
      <c r="H39" s="3"/>
      <c r="I39" s="13"/>
      <c r="J39" s="6">
        <f t="shared" si="7"/>
        <v>0</v>
      </c>
      <c r="K39" s="3">
        <v>4</v>
      </c>
      <c r="L39" s="9">
        <f t="shared" si="8"/>
        <v>0</v>
      </c>
    </row>
    <row r="40" spans="1:12" ht="15.75" customHeight="1">
      <c r="A40" s="1">
        <f>ROW()-ROW($A$31)</f>
        <v>9</v>
      </c>
      <c r="B40" s="12"/>
      <c r="C40" s="1" t="s">
        <v>12</v>
      </c>
      <c r="D40" s="3"/>
      <c r="E40" s="3"/>
      <c r="F40" s="3"/>
      <c r="G40" s="3"/>
      <c r="H40" s="3"/>
      <c r="I40" s="13"/>
      <c r="J40" s="6">
        <f t="shared" si="7"/>
        <v>0</v>
      </c>
      <c r="K40" s="3">
        <v>4</v>
      </c>
      <c r="L40" s="9">
        <f t="shared" si="8"/>
        <v>0</v>
      </c>
    </row>
    <row r="41" spans="1:12" ht="15.75" customHeight="1">
      <c r="A41" s="1">
        <f>ROW()-ROW($A$31)</f>
        <v>10</v>
      </c>
      <c r="B41" s="12"/>
      <c r="C41" s="1" t="s">
        <v>12</v>
      </c>
      <c r="D41" s="3"/>
      <c r="E41" s="3"/>
      <c r="F41" s="3"/>
      <c r="G41" s="3"/>
      <c r="H41" s="3"/>
      <c r="I41" s="13"/>
      <c r="J41" s="6">
        <f t="shared" si="7"/>
        <v>0</v>
      </c>
      <c r="K41" s="3">
        <v>4</v>
      </c>
      <c r="L41" s="9">
        <f t="shared" si="8"/>
        <v>0</v>
      </c>
    </row>
    <row r="42" spans="1:12" ht="15.75" customHeight="1">
      <c r="A42" s="1">
        <f>ROW()-ROW($A$31)</f>
        <v>11</v>
      </c>
      <c r="B42" s="12"/>
      <c r="C42" s="1" t="s">
        <v>12</v>
      </c>
      <c r="D42" s="3"/>
      <c r="E42" s="3"/>
      <c r="F42" s="3"/>
      <c r="G42" s="3"/>
      <c r="H42" s="3"/>
      <c r="I42" s="13"/>
      <c r="J42" s="6">
        <f t="shared" si="7"/>
        <v>0</v>
      </c>
      <c r="K42" s="3">
        <v>4</v>
      </c>
      <c r="L42" s="9">
        <f t="shared" si="8"/>
        <v>0</v>
      </c>
    </row>
    <row r="43" spans="1:12" ht="15.75" customHeight="1">
      <c r="A43" s="1">
        <f>ROW()-ROW($A$31)</f>
        <v>12</v>
      </c>
      <c r="B43" s="12"/>
      <c r="C43" s="1" t="s">
        <v>12</v>
      </c>
      <c r="D43" s="3"/>
      <c r="E43" s="3"/>
      <c r="F43" s="3"/>
      <c r="G43" s="3"/>
      <c r="H43" s="3"/>
      <c r="I43" s="13"/>
      <c r="J43" s="6">
        <f t="shared" si="7"/>
        <v>0</v>
      </c>
      <c r="K43" s="3">
        <v>4</v>
      </c>
      <c r="L43" s="9">
        <f t="shared" si="8"/>
        <v>0</v>
      </c>
    </row>
    <row r="44" spans="1:12" ht="15.75" customHeight="1">
      <c r="A44" s="1">
        <f>ROW()-ROW($A$31)</f>
        <v>13</v>
      </c>
      <c r="B44" s="12"/>
      <c r="C44" s="1" t="s">
        <v>12</v>
      </c>
      <c r="D44" s="3"/>
      <c r="E44" s="3"/>
      <c r="F44" s="3"/>
      <c r="G44" s="3"/>
      <c r="H44" s="3"/>
      <c r="I44" s="13"/>
      <c r="J44" s="6">
        <f t="shared" si="7"/>
        <v>0</v>
      </c>
      <c r="K44" s="3">
        <v>4</v>
      </c>
      <c r="L44" s="9">
        <f t="shared" si="8"/>
        <v>0</v>
      </c>
    </row>
    <row r="45" spans="1:12" ht="15.75" customHeight="1">
      <c r="A45" s="1">
        <f>ROW()-ROW($A$31)</f>
        <v>14</v>
      </c>
      <c r="B45" s="12"/>
      <c r="C45" s="1" t="s">
        <v>12</v>
      </c>
      <c r="D45" s="3"/>
      <c r="E45" s="3"/>
      <c r="F45" s="3"/>
      <c r="G45" s="3"/>
      <c r="H45" s="3"/>
      <c r="I45" s="13"/>
      <c r="J45" s="6">
        <f t="shared" si="7"/>
        <v>0</v>
      </c>
      <c r="K45" s="3">
        <v>4</v>
      </c>
      <c r="L45" s="9">
        <f t="shared" si="8"/>
        <v>0</v>
      </c>
    </row>
    <row r="46" spans="1:12" ht="15.75" customHeight="1">
      <c r="A46" s="1">
        <f>ROW()-ROW($A$31)</f>
        <v>15</v>
      </c>
      <c r="B46" s="12"/>
      <c r="C46" s="1" t="s">
        <v>12</v>
      </c>
      <c r="D46" s="3"/>
      <c r="E46" s="3"/>
      <c r="F46" s="3"/>
      <c r="G46" s="3"/>
      <c r="H46" s="3"/>
      <c r="I46" s="13"/>
      <c r="J46" s="6">
        <f t="shared" si="7"/>
        <v>0</v>
      </c>
      <c r="K46" s="3">
        <v>4</v>
      </c>
      <c r="L46" s="9">
        <f t="shared" si="8"/>
        <v>0</v>
      </c>
    </row>
    <row r="47" spans="1:12" ht="15.75" customHeight="1">
      <c r="A47" s="1">
        <f>ROW()-ROW($A$31)</f>
        <v>16</v>
      </c>
      <c r="B47" s="12"/>
      <c r="C47" s="1" t="s">
        <v>12</v>
      </c>
      <c r="D47" s="3"/>
      <c r="E47" s="3"/>
      <c r="F47" s="3"/>
      <c r="G47" s="3"/>
      <c r="H47" s="3"/>
      <c r="I47" s="13"/>
      <c r="J47" s="6">
        <f t="shared" si="7"/>
        <v>0</v>
      </c>
      <c r="K47" s="3">
        <v>4</v>
      </c>
      <c r="L47" s="9">
        <f t="shared" si="8"/>
        <v>0</v>
      </c>
    </row>
    <row r="48" spans="1:12" ht="15.75" customHeight="1">
      <c r="A48" s="47" t="s">
        <v>13</v>
      </c>
      <c r="B48" s="48"/>
      <c r="C48" s="48"/>
      <c r="D48" s="48"/>
      <c r="E48" s="48"/>
      <c r="F48" s="48"/>
      <c r="G48" s="48"/>
      <c r="H48" s="48"/>
      <c r="I48" s="49"/>
      <c r="J48" s="56">
        <f t="shared" ref="J48:K48" si="9">SUM(J32:J47)</f>
        <v>0</v>
      </c>
      <c r="K48" s="56">
        <f t="shared" si="9"/>
        <v>64</v>
      </c>
      <c r="L48" s="55">
        <f>AVERAGE(L32:L47)</f>
        <v>0</v>
      </c>
    </row>
    <row r="49" spans="1:12" ht="15.75" customHeight="1">
      <c r="A49" s="50"/>
      <c r="B49" s="51"/>
      <c r="C49" s="51"/>
      <c r="D49" s="51"/>
      <c r="E49" s="51"/>
      <c r="F49" s="51"/>
      <c r="G49" s="51"/>
      <c r="H49" s="51"/>
      <c r="I49" s="52"/>
      <c r="J49" s="54"/>
      <c r="K49" s="54"/>
      <c r="L49" s="54"/>
    </row>
    <row r="50" spans="1:12" ht="15.75" customHeight="1">
      <c r="A50" s="5">
        <f>ROW()-ROW($A$49)</f>
        <v>1</v>
      </c>
      <c r="B50" s="10"/>
      <c r="C50" s="5" t="s">
        <v>14</v>
      </c>
      <c r="D50" s="17"/>
      <c r="E50" s="17"/>
      <c r="F50" s="17"/>
      <c r="G50" s="17"/>
      <c r="H50" s="5"/>
      <c r="I50" s="5"/>
      <c r="J50" s="6">
        <f t="shared" ref="J50:J64" si="10">COUNTA(D50:I50)</f>
        <v>0</v>
      </c>
      <c r="K50" s="3">
        <v>4</v>
      </c>
      <c r="L50" s="9">
        <f t="shared" ref="L50:L64" si="11">J50/K50</f>
        <v>0</v>
      </c>
    </row>
    <row r="51" spans="1:12" ht="15.75" customHeight="1">
      <c r="A51" s="5">
        <f>ROW()-ROW($A$49)</f>
        <v>2</v>
      </c>
      <c r="B51" s="12"/>
      <c r="C51" s="5" t="s">
        <v>14</v>
      </c>
      <c r="D51" s="17"/>
      <c r="E51" s="17"/>
      <c r="F51" s="17"/>
      <c r="G51" s="17"/>
      <c r="H51" s="5"/>
      <c r="I51" s="5"/>
      <c r="J51" s="6">
        <f t="shared" si="10"/>
        <v>0</v>
      </c>
      <c r="K51" s="3">
        <v>4</v>
      </c>
      <c r="L51" s="9">
        <f t="shared" si="11"/>
        <v>0</v>
      </c>
    </row>
    <row r="52" spans="1:12" ht="15.75" customHeight="1">
      <c r="A52" s="5">
        <f>ROW()-ROW($A$49)</f>
        <v>3</v>
      </c>
      <c r="B52" s="14"/>
      <c r="C52" s="5" t="s">
        <v>14</v>
      </c>
      <c r="D52" s="17"/>
      <c r="E52" s="17"/>
      <c r="F52" s="17"/>
      <c r="G52" s="17"/>
      <c r="H52" s="5"/>
      <c r="I52" s="5"/>
      <c r="J52" s="6">
        <f t="shared" si="10"/>
        <v>0</v>
      </c>
      <c r="K52" s="3">
        <v>4</v>
      </c>
      <c r="L52" s="9">
        <f t="shared" si="11"/>
        <v>0</v>
      </c>
    </row>
    <row r="53" spans="1:12" ht="15.75" customHeight="1">
      <c r="A53" s="5">
        <f>ROW()-ROW($A$49)</f>
        <v>4</v>
      </c>
      <c r="B53" s="14"/>
      <c r="C53" s="5" t="s">
        <v>14</v>
      </c>
      <c r="D53" s="17"/>
      <c r="E53" s="18"/>
      <c r="F53" s="17"/>
      <c r="G53" s="18"/>
      <c r="H53" s="5"/>
      <c r="I53" s="5"/>
      <c r="J53" s="6">
        <f t="shared" si="10"/>
        <v>0</v>
      </c>
      <c r="K53" s="3">
        <v>4</v>
      </c>
      <c r="L53" s="9">
        <f t="shared" si="11"/>
        <v>0</v>
      </c>
    </row>
    <row r="54" spans="1:12" ht="15.75" customHeight="1">
      <c r="A54" s="5">
        <f>ROW()-ROW($A$49)</f>
        <v>5</v>
      </c>
      <c r="B54" s="14"/>
      <c r="C54" s="5" t="s">
        <v>14</v>
      </c>
      <c r="D54" s="17"/>
      <c r="E54" s="17"/>
      <c r="F54" s="17"/>
      <c r="G54" s="17"/>
      <c r="H54" s="5"/>
      <c r="I54" s="5"/>
      <c r="J54" s="6">
        <f t="shared" si="10"/>
        <v>0</v>
      </c>
      <c r="K54" s="3">
        <v>4</v>
      </c>
      <c r="L54" s="9">
        <f t="shared" si="11"/>
        <v>0</v>
      </c>
    </row>
    <row r="55" spans="1:12" ht="15.75" customHeight="1">
      <c r="A55" s="5">
        <f>ROW()-ROW($A$49)</f>
        <v>6</v>
      </c>
      <c r="B55" s="12"/>
      <c r="C55" s="5" t="s">
        <v>14</v>
      </c>
      <c r="D55" s="17"/>
      <c r="E55" s="17"/>
      <c r="F55" s="17"/>
      <c r="G55" s="17"/>
      <c r="H55" s="5"/>
      <c r="I55" s="5"/>
      <c r="J55" s="6">
        <f t="shared" si="10"/>
        <v>0</v>
      </c>
      <c r="K55" s="3">
        <v>4</v>
      </c>
      <c r="L55" s="9">
        <f t="shared" si="11"/>
        <v>0</v>
      </c>
    </row>
    <row r="56" spans="1:12" ht="15.75" customHeight="1">
      <c r="A56" s="5">
        <f>ROW()-ROW($A$49)</f>
        <v>7</v>
      </c>
      <c r="B56" s="12"/>
      <c r="C56" s="5" t="s">
        <v>14</v>
      </c>
      <c r="D56" s="18"/>
      <c r="E56" s="17"/>
      <c r="F56" s="18"/>
      <c r="G56" s="18"/>
      <c r="H56" s="5"/>
      <c r="I56" s="5"/>
      <c r="J56" s="6">
        <f t="shared" si="10"/>
        <v>0</v>
      </c>
      <c r="K56" s="3">
        <v>4</v>
      </c>
      <c r="L56" s="9">
        <f t="shared" si="11"/>
        <v>0</v>
      </c>
    </row>
    <row r="57" spans="1:12" ht="15.75" customHeight="1">
      <c r="A57" s="5">
        <f>ROW()-ROW($A$49)</f>
        <v>8</v>
      </c>
      <c r="B57" s="12"/>
      <c r="C57" s="5" t="s">
        <v>14</v>
      </c>
      <c r="D57" s="18"/>
      <c r="E57" s="17"/>
      <c r="F57" s="18"/>
      <c r="G57" s="18"/>
      <c r="H57" s="5"/>
      <c r="I57" s="5"/>
      <c r="J57" s="6">
        <f t="shared" si="10"/>
        <v>0</v>
      </c>
      <c r="K57" s="3">
        <v>4</v>
      </c>
      <c r="L57" s="9">
        <f t="shared" si="11"/>
        <v>0</v>
      </c>
    </row>
    <row r="58" spans="1:12" ht="15.75" customHeight="1">
      <c r="A58" s="5">
        <f>ROW()-ROW($A$49)</f>
        <v>9</v>
      </c>
      <c r="B58" s="12"/>
      <c r="C58" s="5" t="s">
        <v>14</v>
      </c>
      <c r="D58" s="18"/>
      <c r="E58" s="17"/>
      <c r="F58" s="18"/>
      <c r="G58" s="18"/>
      <c r="H58" s="5"/>
      <c r="I58" s="5"/>
      <c r="J58" s="6">
        <f t="shared" si="10"/>
        <v>0</v>
      </c>
      <c r="K58" s="3">
        <v>4</v>
      </c>
      <c r="L58" s="9">
        <f t="shared" si="11"/>
        <v>0</v>
      </c>
    </row>
    <row r="59" spans="1:12" ht="15.75" customHeight="1">
      <c r="A59" s="5">
        <f>ROW()-ROW($A$49)</f>
        <v>10</v>
      </c>
      <c r="B59" s="12"/>
      <c r="C59" s="5" t="s">
        <v>14</v>
      </c>
      <c r="D59" s="18"/>
      <c r="E59" s="17"/>
      <c r="F59" s="18"/>
      <c r="G59" s="18"/>
      <c r="H59" s="5"/>
      <c r="I59" s="5"/>
      <c r="J59" s="6">
        <f t="shared" si="10"/>
        <v>0</v>
      </c>
      <c r="K59" s="3">
        <v>4</v>
      </c>
      <c r="L59" s="9">
        <f t="shared" si="11"/>
        <v>0</v>
      </c>
    </row>
    <row r="60" spans="1:12" ht="15.75" customHeight="1">
      <c r="A60" s="5">
        <f>ROW()-ROW($A$49)</f>
        <v>11</v>
      </c>
      <c r="B60" s="12"/>
      <c r="C60" s="5" t="s">
        <v>14</v>
      </c>
      <c r="D60" s="18"/>
      <c r="E60" s="17"/>
      <c r="F60" s="18"/>
      <c r="G60" s="18"/>
      <c r="H60" s="5"/>
      <c r="I60" s="5"/>
      <c r="J60" s="6">
        <f t="shared" si="10"/>
        <v>0</v>
      </c>
      <c r="K60" s="3">
        <v>4</v>
      </c>
      <c r="L60" s="9">
        <f t="shared" si="11"/>
        <v>0</v>
      </c>
    </row>
    <row r="61" spans="1:12" ht="15.75" customHeight="1">
      <c r="A61" s="5">
        <f>ROW()-ROW($A$49)</f>
        <v>12</v>
      </c>
      <c r="B61" s="12"/>
      <c r="C61" s="5" t="s">
        <v>14</v>
      </c>
      <c r="D61" s="18"/>
      <c r="E61" s="18"/>
      <c r="F61" s="17"/>
      <c r="G61" s="18"/>
      <c r="H61" s="5"/>
      <c r="I61" s="5"/>
      <c r="J61" s="6">
        <f t="shared" si="10"/>
        <v>0</v>
      </c>
      <c r="K61" s="3">
        <v>4</v>
      </c>
      <c r="L61" s="9">
        <f t="shared" si="11"/>
        <v>0</v>
      </c>
    </row>
    <row r="62" spans="1:12" ht="15.75" customHeight="1">
      <c r="A62" s="5">
        <f>ROW()-ROW($A$49)</f>
        <v>13</v>
      </c>
      <c r="B62" s="12"/>
      <c r="C62" s="5" t="s">
        <v>14</v>
      </c>
      <c r="D62" s="17"/>
      <c r="E62" s="17"/>
      <c r="F62" s="18"/>
      <c r="G62" s="17"/>
      <c r="H62" s="5"/>
      <c r="I62" s="5"/>
      <c r="J62" s="6">
        <f t="shared" si="10"/>
        <v>0</v>
      </c>
      <c r="K62" s="3">
        <v>4</v>
      </c>
      <c r="L62" s="9">
        <f t="shared" si="11"/>
        <v>0</v>
      </c>
    </row>
    <row r="63" spans="1:12" ht="15" customHeight="1">
      <c r="A63" s="5">
        <f>ROW()-ROW($A$49)</f>
        <v>14</v>
      </c>
      <c r="B63" s="14"/>
      <c r="C63" s="5" t="s">
        <v>14</v>
      </c>
      <c r="D63" s="17"/>
      <c r="E63" s="17"/>
      <c r="F63" s="17"/>
      <c r="G63" s="18"/>
      <c r="H63" s="5"/>
      <c r="I63" s="5"/>
      <c r="J63" s="6">
        <f t="shared" si="10"/>
        <v>0</v>
      </c>
      <c r="K63" s="3">
        <v>4</v>
      </c>
      <c r="L63" s="9">
        <f t="shared" si="11"/>
        <v>0</v>
      </c>
    </row>
    <row r="64" spans="1:12" ht="15" customHeight="1">
      <c r="A64" s="5">
        <f>ROW()-ROW($A$49)</f>
        <v>15</v>
      </c>
      <c r="B64" s="14"/>
      <c r="C64" s="5" t="s">
        <v>14</v>
      </c>
      <c r="D64" s="18"/>
      <c r="E64" s="17"/>
      <c r="F64" s="17"/>
      <c r="G64" s="18"/>
      <c r="H64" s="5"/>
      <c r="I64" s="5"/>
      <c r="J64" s="6">
        <f t="shared" si="10"/>
        <v>0</v>
      </c>
      <c r="K64" s="3">
        <v>4</v>
      </c>
      <c r="L64" s="9">
        <f t="shared" si="11"/>
        <v>0</v>
      </c>
    </row>
    <row r="65" spans="1:12" ht="15.75" customHeight="1">
      <c r="A65" s="57" t="s">
        <v>13</v>
      </c>
      <c r="B65" s="48"/>
      <c r="C65" s="48"/>
      <c r="D65" s="48"/>
      <c r="E65" s="48"/>
      <c r="F65" s="48"/>
      <c r="G65" s="48"/>
      <c r="H65" s="48"/>
      <c r="I65" s="49"/>
      <c r="J65" s="58">
        <f t="shared" ref="J65:K65" si="12">SUM(J50:J64)</f>
        <v>0</v>
      </c>
      <c r="K65" s="58">
        <f t="shared" si="12"/>
        <v>60</v>
      </c>
      <c r="L65" s="55">
        <f>AVERAGE(L50:L64)</f>
        <v>0</v>
      </c>
    </row>
    <row r="66" spans="1:12" ht="15.75" customHeight="1">
      <c r="A66" s="51"/>
      <c r="B66" s="51"/>
      <c r="C66" s="51"/>
      <c r="D66" s="51"/>
      <c r="E66" s="51"/>
      <c r="F66" s="51"/>
      <c r="G66" s="51"/>
      <c r="H66" s="51"/>
      <c r="I66" s="52"/>
      <c r="J66" s="59"/>
      <c r="K66" s="59"/>
      <c r="L66" s="54"/>
    </row>
    <row r="67" spans="1:12" ht="15.75" customHeight="1">
      <c r="A67" s="44" t="s">
        <v>15</v>
      </c>
      <c r="B67" s="45"/>
      <c r="C67" s="45"/>
      <c r="D67" s="45"/>
      <c r="E67" s="45"/>
      <c r="F67" s="45"/>
      <c r="G67" s="45"/>
      <c r="H67" s="45"/>
      <c r="I67" s="46"/>
      <c r="J67" s="15">
        <f t="shared" ref="J67:K67" si="13">SUM(J18+J30+J48+J65)</f>
        <v>0</v>
      </c>
      <c r="K67" s="15">
        <f t="shared" si="13"/>
        <v>224</v>
      </c>
      <c r="L67" s="9">
        <f>AVERAGE(L18,L30,L48,L65)</f>
        <v>0</v>
      </c>
    </row>
    <row r="68" spans="1:12" ht="15.75" customHeight="1"/>
    <row r="69" spans="1:12" ht="15.75" customHeight="1"/>
    <row r="70" spans="1:12" ht="15.75" customHeight="1">
      <c r="B70" s="30" t="s">
        <v>20</v>
      </c>
    </row>
    <row r="71" spans="1:12" ht="15.75" customHeight="1">
      <c r="B71" s="31" t="s">
        <v>18</v>
      </c>
    </row>
    <row r="72" spans="1:12" ht="15" customHeight="1">
      <c r="B72" s="32" t="s">
        <v>19</v>
      </c>
    </row>
    <row r="73" spans="1:12" ht="15.75" customHeight="1"/>
    <row r="75" spans="1:12" ht="15.75" customHeight="1"/>
    <row r="77" spans="1:12" ht="15.75" customHeight="1"/>
    <row r="78" spans="1:12" ht="15.75" customHeight="1"/>
    <row r="79" spans="1:12" ht="15.75" customHeight="1"/>
    <row r="80" spans="1:12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</sheetData>
  <mergeCells count="24">
    <mergeCell ref="L1:L2"/>
    <mergeCell ref="D1:I1"/>
    <mergeCell ref="J1:J2"/>
    <mergeCell ref="A18:I19"/>
    <mergeCell ref="J18:J19"/>
    <mergeCell ref="K18:K19"/>
    <mergeCell ref="L18:L19"/>
    <mergeCell ref="A1:A2"/>
    <mergeCell ref="B1:B2"/>
    <mergeCell ref="K1:K2"/>
    <mergeCell ref="C1:C2"/>
    <mergeCell ref="A30:I31"/>
    <mergeCell ref="J30:J31"/>
    <mergeCell ref="K30:K31"/>
    <mergeCell ref="L30:L31"/>
    <mergeCell ref="A48:I49"/>
    <mergeCell ref="J48:J49"/>
    <mergeCell ref="K48:K49"/>
    <mergeCell ref="L48:L49"/>
    <mergeCell ref="A65:I66"/>
    <mergeCell ref="J65:J66"/>
    <mergeCell ref="K65:K66"/>
    <mergeCell ref="L65:L66"/>
    <mergeCell ref="A67:I67"/>
  </mergeCells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C82A1-A58B-400A-8943-66670353E037}">
  <dimension ref="A1:N16"/>
  <sheetViews>
    <sheetView workbookViewId="0">
      <selection activeCell="N15" sqref="N14:N15"/>
    </sheetView>
  </sheetViews>
  <sheetFormatPr defaultRowHeight="14.5"/>
  <cols>
    <col min="2" max="2" width="14.1796875" bestFit="1" customWidth="1"/>
    <col min="4" max="4" width="10.08984375" bestFit="1" customWidth="1"/>
  </cols>
  <sheetData>
    <row r="1" spans="1:14" ht="15.5">
      <c r="A1" s="92" t="s">
        <v>0</v>
      </c>
      <c r="B1" s="92" t="s">
        <v>1</v>
      </c>
      <c r="C1" s="97" t="s">
        <v>7</v>
      </c>
      <c r="D1" s="93" t="s">
        <v>17</v>
      </c>
      <c r="E1" s="94"/>
      <c r="F1" s="94"/>
      <c r="G1" s="94"/>
      <c r="H1" s="94"/>
      <c r="I1" s="94"/>
      <c r="J1" s="94"/>
      <c r="K1" s="95"/>
      <c r="L1" s="96" t="s">
        <v>3</v>
      </c>
      <c r="M1" s="90" t="s">
        <v>5</v>
      </c>
      <c r="N1" s="92" t="s">
        <v>6</v>
      </c>
    </row>
    <row r="2" spans="1:14" ht="15.5">
      <c r="A2" s="91"/>
      <c r="B2" s="91"/>
      <c r="C2" s="98"/>
      <c r="D2" s="43">
        <v>46234</v>
      </c>
      <c r="E2" s="26"/>
      <c r="F2" s="26"/>
      <c r="G2" s="26"/>
      <c r="H2" s="26"/>
      <c r="I2" s="26"/>
      <c r="J2" s="27"/>
      <c r="K2" s="27"/>
      <c r="L2" s="91"/>
      <c r="M2" s="91"/>
      <c r="N2" s="91"/>
    </row>
    <row r="3" spans="1:14" ht="15.5">
      <c r="A3" s="1">
        <f>ROW()-ROW('Absensi APR - GPN B '!$A$2)</f>
        <v>1</v>
      </c>
      <c r="B3" s="1"/>
      <c r="C3" s="16"/>
      <c r="D3" s="19"/>
      <c r="E3" s="19"/>
      <c r="F3" s="19"/>
      <c r="G3" s="2"/>
      <c r="H3" s="2"/>
      <c r="I3" s="2"/>
      <c r="J3" s="3"/>
      <c r="K3" s="3"/>
      <c r="L3" s="8">
        <f t="shared" ref="L3:L10" si="0">COUNTA(D3:K3)</f>
        <v>0</v>
      </c>
      <c r="M3" s="1">
        <v>4</v>
      </c>
      <c r="N3" s="9">
        <f t="shared" ref="N3:N10" si="1">L3/M3</f>
        <v>0</v>
      </c>
    </row>
    <row r="4" spans="1:14" ht="15.5">
      <c r="A4" s="1">
        <f>ROW()-ROW('Absensi APR - GPN B '!$A$2)</f>
        <v>2</v>
      </c>
      <c r="B4" s="1"/>
      <c r="C4" s="16"/>
      <c r="D4" s="19"/>
      <c r="E4" s="19"/>
      <c r="F4" s="19"/>
      <c r="G4" s="2"/>
      <c r="H4" s="2"/>
      <c r="I4" s="2"/>
      <c r="J4" s="3"/>
      <c r="K4" s="3"/>
      <c r="L4" s="8">
        <f t="shared" si="0"/>
        <v>0</v>
      </c>
      <c r="M4" s="1">
        <v>4</v>
      </c>
      <c r="N4" s="9">
        <f t="shared" si="1"/>
        <v>0</v>
      </c>
    </row>
    <row r="5" spans="1:14" ht="15.5">
      <c r="A5" s="1">
        <f>ROW()-ROW('Absensi APR - GPN B '!$A$2)</f>
        <v>3</v>
      </c>
      <c r="B5" s="1"/>
      <c r="C5" s="16"/>
      <c r="D5" s="19"/>
      <c r="E5" s="19"/>
      <c r="F5" s="19"/>
      <c r="G5" s="2"/>
      <c r="H5" s="2"/>
      <c r="I5" s="2"/>
      <c r="J5" s="3"/>
      <c r="K5" s="3"/>
      <c r="L5" s="8">
        <f t="shared" si="0"/>
        <v>0</v>
      </c>
      <c r="M5" s="1">
        <v>4</v>
      </c>
      <c r="N5" s="9">
        <f t="shared" si="1"/>
        <v>0</v>
      </c>
    </row>
    <row r="6" spans="1:14" ht="15.5">
      <c r="A6" s="1">
        <f>ROW()-ROW('Absensi APR - GPN B '!$A$2)</f>
        <v>4</v>
      </c>
      <c r="B6" s="1"/>
      <c r="C6" s="16"/>
      <c r="D6" s="19"/>
      <c r="E6" s="19"/>
      <c r="F6" s="19"/>
      <c r="G6" s="2"/>
      <c r="H6" s="2"/>
      <c r="I6" s="2"/>
      <c r="J6" s="3"/>
      <c r="K6" s="3"/>
      <c r="L6" s="8">
        <f t="shared" si="0"/>
        <v>0</v>
      </c>
      <c r="M6" s="1">
        <v>4</v>
      </c>
      <c r="N6" s="9">
        <f t="shared" si="1"/>
        <v>0</v>
      </c>
    </row>
    <row r="7" spans="1:14" ht="15.5">
      <c r="A7" s="1">
        <f>ROW()-ROW('Absensi APR - GPN B '!$A$2)</f>
        <v>5</v>
      </c>
      <c r="B7" s="1"/>
      <c r="C7" s="20"/>
      <c r="D7" s="18"/>
      <c r="E7" s="18"/>
      <c r="F7" s="19"/>
      <c r="G7" s="2"/>
      <c r="H7" s="2"/>
      <c r="I7" s="2"/>
      <c r="J7" s="3"/>
      <c r="K7" s="3"/>
      <c r="L7" s="8">
        <f t="shared" si="0"/>
        <v>0</v>
      </c>
      <c r="M7" s="1">
        <v>4</v>
      </c>
      <c r="N7" s="9">
        <f t="shared" si="1"/>
        <v>0</v>
      </c>
    </row>
    <row r="8" spans="1:14" ht="15.5">
      <c r="A8" s="1">
        <f>ROW()-ROW('Absensi APR - GPN B '!$A$2)</f>
        <v>6</v>
      </c>
      <c r="B8" s="1"/>
      <c r="C8" s="21"/>
      <c r="D8" s="17"/>
      <c r="E8" s="18"/>
      <c r="F8" s="18"/>
      <c r="G8" s="2"/>
      <c r="H8" s="2"/>
      <c r="I8" s="2"/>
      <c r="J8" s="3"/>
      <c r="K8" s="3"/>
      <c r="L8" s="8">
        <f t="shared" si="0"/>
        <v>0</v>
      </c>
      <c r="M8" s="1">
        <v>4</v>
      </c>
      <c r="N8" s="9">
        <f t="shared" si="1"/>
        <v>0</v>
      </c>
    </row>
    <row r="9" spans="1:14" ht="15.5">
      <c r="A9" s="1">
        <f>ROW()-ROW('Absensi APR - GPN B '!$A$2)</f>
        <v>7</v>
      </c>
      <c r="B9" s="1"/>
      <c r="C9" s="20"/>
      <c r="D9" s="17"/>
      <c r="E9" s="19"/>
      <c r="F9" s="19"/>
      <c r="G9" s="2"/>
      <c r="H9" s="2"/>
      <c r="I9" s="2"/>
      <c r="J9" s="3"/>
      <c r="K9" s="3"/>
      <c r="L9" s="8">
        <f t="shared" si="0"/>
        <v>0</v>
      </c>
      <c r="M9" s="1">
        <v>4</v>
      </c>
      <c r="N9" s="9">
        <f t="shared" si="1"/>
        <v>0</v>
      </c>
    </row>
    <row r="10" spans="1:14" ht="15.5">
      <c r="A10" s="1">
        <f>ROW()-ROW('Absensi APR - GPN B '!$A$2)</f>
        <v>8</v>
      </c>
      <c r="B10" s="11"/>
      <c r="C10" s="10"/>
      <c r="D10" s="5"/>
      <c r="E10" s="2"/>
      <c r="F10" s="2"/>
      <c r="G10" s="2"/>
      <c r="H10" s="2"/>
      <c r="I10" s="3"/>
      <c r="J10" s="3"/>
      <c r="K10" s="3"/>
      <c r="L10" s="8">
        <f t="shared" si="0"/>
        <v>0</v>
      </c>
      <c r="M10" s="1">
        <v>4</v>
      </c>
      <c r="N10" s="9">
        <f t="shared" si="1"/>
        <v>0</v>
      </c>
    </row>
    <row r="11" spans="1:14" ht="15.5">
      <c r="A11" s="87" t="s">
        <v>11</v>
      </c>
      <c r="B11" s="88"/>
      <c r="C11" s="88"/>
      <c r="D11" s="88"/>
      <c r="E11" s="88"/>
      <c r="F11" s="88"/>
      <c r="G11" s="88"/>
      <c r="H11" s="88"/>
      <c r="I11" s="88"/>
      <c r="J11" s="88"/>
      <c r="K11" s="89"/>
      <c r="L11" s="28">
        <f t="shared" ref="L11:M11" si="2">SUM(L3:L10)</f>
        <v>0</v>
      </c>
      <c r="M11" s="27">
        <f t="shared" si="2"/>
        <v>32</v>
      </c>
      <c r="N11" s="29">
        <f>AVERAGE(N7:N10)</f>
        <v>0</v>
      </c>
    </row>
    <row r="14" spans="1:14">
      <c r="B14" s="30" t="s">
        <v>20</v>
      </c>
    </row>
    <row r="15" spans="1:14">
      <c r="B15" s="31" t="s">
        <v>18</v>
      </c>
    </row>
    <row r="16" spans="1:14">
      <c r="B16" s="32" t="s">
        <v>19</v>
      </c>
    </row>
  </sheetData>
  <mergeCells count="8">
    <mergeCell ref="A11:K11"/>
    <mergeCell ref="M1:M2"/>
    <mergeCell ref="N1:N2"/>
    <mergeCell ref="A1:A2"/>
    <mergeCell ref="B1:B2"/>
    <mergeCell ref="D1:K1"/>
    <mergeCell ref="L1:L2"/>
    <mergeCell ref="C1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Absensi APR - GPN B </vt:lpstr>
      <vt:lpstr>Absensi AR Intensif</vt:lpstr>
      <vt:lpstr>Absensi ACR</vt:lpstr>
      <vt:lpstr>Pengajian Desa</vt:lpstr>
      <vt:lpstr>Pengajian Daerah</vt:lpstr>
      <vt:lpstr>Absen Generus Baru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Farhan Abdillah</dc:creator>
  <cp:lastModifiedBy>admin</cp:lastModifiedBy>
  <dcterms:created xsi:type="dcterms:W3CDTF">2023-04-01T05:22:16Z</dcterms:created>
  <dcterms:modified xsi:type="dcterms:W3CDTF">2026-07-31T06:30:53Z</dcterms:modified>
</cp:coreProperties>
</file>