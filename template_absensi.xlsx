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61579B18-3C84-43E0-9149-C351AAD9CDB1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Absensi APR - GPN B " sheetId="1" r:id="rId1"/>
    <sheet name="Absensi AR Intensif" sheetId="2" r:id="rId2"/>
    <sheet name="Absensi ACR" sheetId="7" r:id="rId3"/>
    <sheet name="Pengajian Desa" sheetId="9" r:id="rId4"/>
    <sheet name="Pengajian Daerah" sheetId="10" r:id="rId5"/>
    <sheet name="Absen Generus Baru" sheetId="11" r:id="rId6"/>
  </sheets>
  <calcPr calcId="191029"/>
  <extLst>
    <ext uri="GoogleSheetsCustomDataVersion2">
      <go:sheetsCustomData xmlns:go="http://customooxmlschemas.google.com/" r:id="rId10" roundtripDataChecksum="luSmfwoRC4fttvf+I6PkxSZqAZ9FUsbGx79UdsLN9mE="/>
    </ext>
  </extLst>
</workbook>
</file>

<file path=xl/calcChain.xml><?xml version="1.0" encoding="utf-8"?>
<calcChain xmlns="http://schemas.openxmlformats.org/spreadsheetml/2006/main">
  <c r="K41" i="10" l="1"/>
  <c r="J40" i="10"/>
  <c r="L40" i="10" s="1"/>
  <c r="A40" i="10"/>
  <c r="J39" i="10"/>
  <c r="L39" i="10" s="1"/>
  <c r="A39" i="10"/>
  <c r="J38" i="10"/>
  <c r="L38" i="10" s="1"/>
  <c r="A38" i="10"/>
  <c r="L37" i="10"/>
  <c r="J37" i="10"/>
  <c r="A37" i="10"/>
  <c r="J36" i="10"/>
  <c r="L36" i="10" s="1"/>
  <c r="A36" i="10"/>
  <c r="J35" i="10"/>
  <c r="L35" i="10" s="1"/>
  <c r="A35" i="10"/>
  <c r="L34" i="10"/>
  <c r="J34" i="10"/>
  <c r="A34" i="10"/>
  <c r="J33" i="10"/>
  <c r="L33" i="10" s="1"/>
  <c r="A33" i="10"/>
  <c r="J32" i="10"/>
  <c r="L32" i="10" s="1"/>
  <c r="A32" i="10"/>
  <c r="J31" i="10"/>
  <c r="L31" i="10" s="1"/>
  <c r="A31" i="10"/>
  <c r="L30" i="10"/>
  <c r="J30" i="10"/>
  <c r="J41" i="10" s="1"/>
  <c r="A30" i="10"/>
  <c r="K28" i="10"/>
  <c r="L27" i="10"/>
  <c r="J27" i="10"/>
  <c r="A27" i="10"/>
  <c r="J26" i="10"/>
  <c r="L26" i="10" s="1"/>
  <c r="A26" i="10"/>
  <c r="L25" i="10"/>
  <c r="J25" i="10"/>
  <c r="A25" i="10"/>
  <c r="J24" i="10"/>
  <c r="L24" i="10" s="1"/>
  <c r="A24" i="10"/>
  <c r="J23" i="10"/>
  <c r="L23" i="10" s="1"/>
  <c r="A23" i="10"/>
  <c r="J22" i="10"/>
  <c r="L22" i="10" s="1"/>
  <c r="A22" i="10"/>
  <c r="L21" i="10"/>
  <c r="J21" i="10"/>
  <c r="A21" i="10"/>
  <c r="L20" i="10"/>
  <c r="J20" i="10"/>
  <c r="A20" i="10"/>
  <c r="L19" i="10"/>
  <c r="J19" i="10"/>
  <c r="A19" i="10"/>
  <c r="J18" i="10"/>
  <c r="L18" i="10" s="1"/>
  <c r="A18" i="10"/>
  <c r="L17" i="10"/>
  <c r="J17" i="10"/>
  <c r="A17" i="10"/>
  <c r="J16" i="10"/>
  <c r="L16" i="10" s="1"/>
  <c r="A16" i="10"/>
  <c r="J15" i="10"/>
  <c r="J28" i="10" s="1"/>
  <c r="A15" i="10"/>
  <c r="K13" i="10"/>
  <c r="L12" i="10"/>
  <c r="J12" i="10"/>
  <c r="A12" i="10"/>
  <c r="L11" i="10"/>
  <c r="J11" i="10"/>
  <c r="A11" i="10"/>
  <c r="L10" i="10"/>
  <c r="J10" i="10"/>
  <c r="A10" i="10"/>
  <c r="J9" i="10"/>
  <c r="L9" i="10" s="1"/>
  <c r="A9" i="10"/>
  <c r="L8" i="10"/>
  <c r="L13" i="10" s="1"/>
  <c r="J8" i="10"/>
  <c r="J13" i="10" s="1"/>
  <c r="A8" i="10"/>
  <c r="K6" i="10"/>
  <c r="K43" i="10" s="1"/>
  <c r="J5" i="10"/>
  <c r="L5" i="10" s="1"/>
  <c r="A5" i="10"/>
  <c r="J4" i="10"/>
  <c r="L4" i="10" s="1"/>
  <c r="A4" i="10"/>
  <c r="L3" i="10"/>
  <c r="L6" i="10" s="1"/>
  <c r="J3" i="10"/>
  <c r="J6" i="10" s="1"/>
  <c r="A3" i="10"/>
  <c r="K41" i="9"/>
  <c r="J40" i="9"/>
  <c r="L40" i="9" s="1"/>
  <c r="A40" i="9"/>
  <c r="L39" i="9"/>
  <c r="J39" i="9"/>
  <c r="A39" i="9"/>
  <c r="J38" i="9"/>
  <c r="L38" i="9" s="1"/>
  <c r="A38" i="9"/>
  <c r="J37" i="9"/>
  <c r="L37" i="9" s="1"/>
  <c r="A37" i="9"/>
  <c r="J36" i="9"/>
  <c r="L36" i="9" s="1"/>
  <c r="A36" i="9"/>
  <c r="J35" i="9"/>
  <c r="L35" i="9" s="1"/>
  <c r="A35" i="9"/>
  <c r="J34" i="9"/>
  <c r="L34" i="9" s="1"/>
  <c r="A34" i="9"/>
  <c r="L33" i="9"/>
  <c r="J33" i="9"/>
  <c r="A33" i="9"/>
  <c r="L32" i="9"/>
  <c r="J32" i="9"/>
  <c r="A32" i="9"/>
  <c r="L31" i="9"/>
  <c r="J31" i="9"/>
  <c r="A31" i="9"/>
  <c r="J30" i="9"/>
  <c r="L30" i="9" s="1"/>
  <c r="L41" i="9" s="1"/>
  <c r="A30" i="9"/>
  <c r="K28" i="9"/>
  <c r="J28" i="9"/>
  <c r="J27" i="9"/>
  <c r="L27" i="9" s="1"/>
  <c r="A27" i="9"/>
  <c r="J26" i="9"/>
  <c r="L26" i="9" s="1"/>
  <c r="A26" i="9"/>
  <c r="J25" i="9"/>
  <c r="L25" i="9" s="1"/>
  <c r="A25" i="9"/>
  <c r="L24" i="9"/>
  <c r="J24" i="9"/>
  <c r="A24" i="9"/>
  <c r="L23" i="9"/>
  <c r="J23" i="9"/>
  <c r="A23" i="9"/>
  <c r="L22" i="9"/>
  <c r="J22" i="9"/>
  <c r="A22" i="9"/>
  <c r="J21" i="9"/>
  <c r="L21" i="9" s="1"/>
  <c r="A21" i="9"/>
  <c r="J20" i="9"/>
  <c r="L20" i="9" s="1"/>
  <c r="A20" i="9"/>
  <c r="J19" i="9"/>
  <c r="L19" i="9" s="1"/>
  <c r="A19" i="9"/>
  <c r="J18" i="9"/>
  <c r="L18" i="9" s="1"/>
  <c r="A18" i="9"/>
  <c r="J17" i="9"/>
  <c r="L17" i="9" s="1"/>
  <c r="A17" i="9"/>
  <c r="L16" i="9"/>
  <c r="J16" i="9"/>
  <c r="A16" i="9"/>
  <c r="L15" i="9"/>
  <c r="L28" i="9" s="1"/>
  <c r="J15" i="9"/>
  <c r="A15" i="9"/>
  <c r="K13" i="9"/>
  <c r="J12" i="9"/>
  <c r="L12" i="9" s="1"/>
  <c r="A12" i="9"/>
  <c r="J11" i="9"/>
  <c r="L11" i="9" s="1"/>
  <c r="A11" i="9"/>
  <c r="J10" i="9"/>
  <c r="L10" i="9" s="1"/>
  <c r="A10" i="9"/>
  <c r="J9" i="9"/>
  <c r="L9" i="9" s="1"/>
  <c r="A9" i="9"/>
  <c r="J8" i="9"/>
  <c r="J13" i="9" s="1"/>
  <c r="A8" i="9"/>
  <c r="K6" i="9"/>
  <c r="K43" i="9" s="1"/>
  <c r="L5" i="9"/>
  <c r="J5" i="9"/>
  <c r="A5" i="9"/>
  <c r="L4" i="9"/>
  <c r="J4" i="9"/>
  <c r="A4" i="9"/>
  <c r="J3" i="9"/>
  <c r="L3" i="9" s="1"/>
  <c r="L6" i="9" s="1"/>
  <c r="A3" i="9"/>
  <c r="L8" i="11"/>
  <c r="K8" i="11"/>
  <c r="K7" i="11"/>
  <c r="M7" i="11" s="1"/>
  <c r="A7" i="11"/>
  <c r="K6" i="11"/>
  <c r="M6" i="11" s="1"/>
  <c r="A6" i="11"/>
  <c r="K5" i="11"/>
  <c r="M5" i="11" s="1"/>
  <c r="A5" i="11"/>
  <c r="K4" i="11"/>
  <c r="M4" i="11" s="1"/>
  <c r="M8" i="11" s="1"/>
  <c r="A4" i="11"/>
  <c r="K3" i="11"/>
  <c r="M3" i="11" s="1"/>
  <c r="A3" i="11"/>
  <c r="M7" i="7"/>
  <c r="K7" i="7"/>
  <c r="A7" i="7"/>
  <c r="L9" i="7"/>
  <c r="K8" i="7"/>
  <c r="M8" i="7" s="1"/>
  <c r="A8" i="7"/>
  <c r="K6" i="7"/>
  <c r="M6" i="7" s="1"/>
  <c r="A6" i="7"/>
  <c r="K5" i="7"/>
  <c r="M5" i="7" s="1"/>
  <c r="A5" i="7"/>
  <c r="K4" i="7"/>
  <c r="M4" i="7" s="1"/>
  <c r="A4" i="7"/>
  <c r="K3" i="7"/>
  <c r="A3" i="7"/>
  <c r="L8" i="2"/>
  <c r="K7" i="2"/>
  <c r="M7" i="2" s="1"/>
  <c r="A7" i="2"/>
  <c r="K6" i="2"/>
  <c r="M6" i="2" s="1"/>
  <c r="A6" i="2"/>
  <c r="K5" i="2"/>
  <c r="M5" i="2" s="1"/>
  <c r="A5" i="2"/>
  <c r="K4" i="2"/>
  <c r="M4" i="2" s="1"/>
  <c r="A4" i="2"/>
  <c r="K3" i="2"/>
  <c r="K8" i="2" s="1"/>
  <c r="A3" i="2"/>
  <c r="K41" i="1"/>
  <c r="J40" i="1"/>
  <c r="L40" i="1" s="1"/>
  <c r="A40" i="1"/>
  <c r="J39" i="1"/>
  <c r="L39" i="1" s="1"/>
  <c r="A39" i="1"/>
  <c r="J38" i="1"/>
  <c r="L38" i="1" s="1"/>
  <c r="A38" i="1"/>
  <c r="J37" i="1"/>
  <c r="L37" i="1" s="1"/>
  <c r="A37" i="1"/>
  <c r="L36" i="1"/>
  <c r="J36" i="1"/>
  <c r="A36" i="1"/>
  <c r="J35" i="1"/>
  <c r="L35" i="1" s="1"/>
  <c r="A35" i="1"/>
  <c r="J34" i="1"/>
  <c r="L34" i="1" s="1"/>
  <c r="A34" i="1"/>
  <c r="J33" i="1"/>
  <c r="L33" i="1" s="1"/>
  <c r="A33" i="1"/>
  <c r="J32" i="1"/>
  <c r="L32" i="1" s="1"/>
  <c r="A32" i="1"/>
  <c r="L31" i="1"/>
  <c r="J31" i="1"/>
  <c r="A31" i="1"/>
  <c r="J30" i="1"/>
  <c r="L30" i="1" s="1"/>
  <c r="A30" i="1"/>
  <c r="K28" i="1"/>
  <c r="L27" i="1"/>
  <c r="J27" i="1"/>
  <c r="A27" i="1"/>
  <c r="J26" i="1"/>
  <c r="L26" i="1" s="1"/>
  <c r="A26" i="1"/>
  <c r="J25" i="1"/>
  <c r="L25" i="1" s="1"/>
  <c r="A25" i="1"/>
  <c r="J24" i="1"/>
  <c r="L24" i="1" s="1"/>
  <c r="A24" i="1"/>
  <c r="J23" i="1"/>
  <c r="L23" i="1" s="1"/>
  <c r="A23" i="1"/>
  <c r="J22" i="1"/>
  <c r="L22" i="1" s="1"/>
  <c r="A22" i="1"/>
  <c r="J21" i="1"/>
  <c r="L21" i="1" s="1"/>
  <c r="A21" i="1"/>
  <c r="J20" i="1"/>
  <c r="L20" i="1" s="1"/>
  <c r="A20" i="1"/>
  <c r="J19" i="1"/>
  <c r="L19" i="1" s="1"/>
  <c r="A19" i="1"/>
  <c r="J18" i="1"/>
  <c r="L18" i="1" s="1"/>
  <c r="A18" i="1"/>
  <c r="J17" i="1"/>
  <c r="L17" i="1" s="1"/>
  <c r="A17" i="1"/>
  <c r="J16" i="1"/>
  <c r="L16" i="1" s="1"/>
  <c r="A16" i="1"/>
  <c r="J15" i="1"/>
  <c r="L15" i="1" s="1"/>
  <c r="A15" i="1"/>
  <c r="K13" i="1"/>
  <c r="J12" i="1"/>
  <c r="L12" i="1" s="1"/>
  <c r="A12" i="1"/>
  <c r="J11" i="1"/>
  <c r="L11" i="1" s="1"/>
  <c r="A11" i="1"/>
  <c r="J10" i="1"/>
  <c r="L10" i="1" s="1"/>
  <c r="A10" i="1"/>
  <c r="J9" i="1"/>
  <c r="L9" i="1" s="1"/>
  <c r="A9" i="1"/>
  <c r="J8" i="1"/>
  <c r="A8" i="1"/>
  <c r="K6" i="1"/>
  <c r="K43" i="1" s="1"/>
  <c r="L5" i="1"/>
  <c r="J5" i="1"/>
  <c r="A5" i="1"/>
  <c r="J4" i="1"/>
  <c r="L4" i="1" s="1"/>
  <c r="A4" i="1"/>
  <c r="J3" i="1"/>
  <c r="L3" i="1" s="1"/>
  <c r="A3" i="1"/>
  <c r="L41" i="10" l="1"/>
  <c r="J43" i="10"/>
  <c r="L15" i="10"/>
  <c r="L28" i="10" s="1"/>
  <c r="L43" i="10" s="1"/>
  <c r="L8" i="9"/>
  <c r="L13" i="9" s="1"/>
  <c r="L43" i="9" s="1"/>
  <c r="J41" i="9"/>
  <c r="J6" i="9"/>
  <c r="J43" i="9" s="1"/>
  <c r="K9" i="7"/>
  <c r="M9" i="7"/>
  <c r="M3" i="7"/>
  <c r="L41" i="1"/>
  <c r="L28" i="1"/>
  <c r="J13" i="1"/>
  <c r="L6" i="1"/>
  <c r="M8" i="2"/>
  <c r="L8" i="1"/>
  <c r="L13" i="1" s="1"/>
  <c r="J41" i="1"/>
  <c r="M3" i="2"/>
  <c r="J6" i="1"/>
  <c r="J43" i="1" s="1"/>
  <c r="J28" i="1"/>
  <c r="L43" i="1" l="1"/>
</calcChain>
</file>

<file path=xl/sharedStrings.xml><?xml version="1.0" encoding="utf-8"?>
<sst xmlns="http://schemas.openxmlformats.org/spreadsheetml/2006/main" count="171" uniqueCount="21">
  <si>
    <t>No</t>
  </si>
  <si>
    <t>Nama Lengkap</t>
  </si>
  <si>
    <t>Akumulasi Kehadiran</t>
  </si>
  <si>
    <t>Akumulasi Hadir</t>
  </si>
  <si>
    <t>Tanggal Hadir</t>
  </si>
  <si>
    <t>Jumlah Pertemuan</t>
  </si>
  <si>
    <t>Presentase</t>
  </si>
  <si>
    <t>Kategori</t>
  </si>
  <si>
    <t>APR</t>
  </si>
  <si>
    <t xml:space="preserve"> Total</t>
  </si>
  <si>
    <t>AR</t>
  </si>
  <si>
    <t>Total Akumulasi Hadir &amp; Presentase</t>
  </si>
  <si>
    <t>GPNA</t>
  </si>
  <si>
    <t>Total</t>
  </si>
  <si>
    <t>GPNB</t>
  </si>
  <si>
    <t>Total Akumulasi Kehadiran &amp; Presentase</t>
  </si>
  <si>
    <t xml:space="preserve">Tanggal </t>
  </si>
  <si>
    <t>Tanggal Absen</t>
  </si>
  <si>
    <t xml:space="preserve">IZIN </t>
  </si>
  <si>
    <t>ALPHA</t>
  </si>
  <si>
    <t xml:space="preserve">HADIR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</si>
</sst>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2"/>
      <color theme="1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</fonts>
  <fills count="1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rgb="FFF7CAA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5E0B3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4B083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5" xfId="0" applyFont="1" applyBorder="1" applyAlignment="1">
      <alignment horizontal="center"/>
    </xf>
    <xf numFmtId="15" fontId="1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5" fontId="1" fillId="2" borderId="5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/>
    <xf numFmtId="0" fontId="1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center" vertical="center"/>
    </xf>
    <xf numFmtId="0" fontId="1" fillId="6" borderId="5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15" fontId="1" fillId="7" borderId="5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left"/>
    </xf>
    <xf numFmtId="49" fontId="1" fillId="7" borderId="5" xfId="0" applyNumberFormat="1" applyFont="1" applyFill="1" applyBorder="1" applyAlignment="1">
      <alignment horizontal="left" vertical="center"/>
    </xf>
    <xf numFmtId="15" fontId="1" fillId="9" borderId="5" xfId="0" applyNumberFormat="1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11" borderId="13" xfId="0" applyFont="1" applyFill="1" applyBorder="1"/>
    <xf numFmtId="0" fontId="3" fillId="12" borderId="4" xfId="0" applyFont="1" applyFill="1" applyBorder="1"/>
    <xf numFmtId="0" fontId="1" fillId="12" borderId="5" xfId="0" applyFont="1" applyFill="1" applyBorder="1" applyAlignment="1">
      <alignment horizontal="center"/>
    </xf>
    <xf numFmtId="15" fontId="1" fillId="12" borderId="5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1" fontId="1" fillId="15" borderId="5" xfId="0" applyNumberFormat="1" applyFont="1" applyFill="1" applyBorder="1" applyAlignment="1">
      <alignment horizontal="center" vertical="center"/>
    </xf>
    <xf numFmtId="9" fontId="1" fillId="15" borderId="5" xfId="0" applyNumberFormat="1" applyFont="1" applyFill="1" applyBorder="1" applyAlignment="1">
      <alignment horizontal="center" vertical="center"/>
    </xf>
    <xf numFmtId="0" fontId="0" fillId="9" borderId="0" xfId="0" applyFill="1"/>
    <xf numFmtId="0" fontId="0" fillId="16" borderId="0" xfId="0" applyFill="1"/>
    <xf numFmtId="0" fontId="0" fillId="17" borderId="0" xfId="0" applyFill="1"/>
    <xf numFmtId="0" fontId="4" fillId="3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1" fillId="0" borderId="1" xfId="0" applyNumberFormat="1" applyFont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3" fillId="12" borderId="3" xfId="0" applyFont="1" applyFill="1" applyBorder="1"/>
    <xf numFmtId="0" fontId="3" fillId="12" borderId="4" xfId="0" applyFont="1" applyFill="1" applyBorder="1"/>
    <xf numFmtId="0" fontId="1" fillId="12" borderId="1" xfId="0" applyFont="1" applyFill="1" applyBorder="1" applyAlignment="1">
      <alignment horizontal="center" vertical="center" wrapText="1"/>
    </xf>
    <xf numFmtId="0" fontId="3" fillId="12" borderId="6" xfId="0" applyFont="1" applyFill="1" applyBorder="1"/>
    <xf numFmtId="0" fontId="1" fillId="12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1" fillId="12" borderId="7" xfId="0" applyFont="1" applyFill="1" applyBorder="1" applyAlignment="1">
      <alignment horizontal="center"/>
    </xf>
    <xf numFmtId="0" fontId="1" fillId="12" borderId="10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1" fillId="12" borderId="1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0" borderId="7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3" fillId="14" borderId="6" xfId="0" applyFont="1" applyFill="1" applyBorder="1"/>
    <xf numFmtId="0" fontId="1" fillId="9" borderId="1" xfId="0" applyFont="1" applyFill="1" applyBorder="1" applyAlignment="1">
      <alignment horizontal="center" vertical="center"/>
    </xf>
    <xf numFmtId="0" fontId="3" fillId="9" borderId="6" xfId="0" applyFont="1" applyFill="1" applyBorder="1"/>
    <xf numFmtId="0" fontId="1" fillId="10" borderId="2" xfId="0" applyFont="1" applyFill="1" applyBorder="1" applyAlignment="1">
      <alignment horizontal="center" vertical="center"/>
    </xf>
    <xf numFmtId="0" fontId="3" fillId="10" borderId="3" xfId="0" applyFont="1" applyFill="1" applyBorder="1"/>
    <xf numFmtId="0" fontId="3" fillId="10" borderId="4" xfId="0" applyFont="1" applyFill="1" applyBorder="1"/>
    <xf numFmtId="14" fontId="1" fillId="9" borderId="2" xfId="0" applyNumberFormat="1" applyFont="1" applyFill="1" applyBorder="1" applyAlignment="1">
      <alignment horizontal="center" vertical="center"/>
    </xf>
    <xf numFmtId="0" fontId="3" fillId="9" borderId="3" xfId="0" applyFont="1" applyFill="1" applyBorder="1"/>
    <xf numFmtId="0" fontId="3" fillId="9" borderId="4" xfId="0" applyFont="1" applyFill="1" applyBorder="1"/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4" xfId="0" applyFont="1" applyFill="1" applyBorder="1"/>
    <xf numFmtId="0" fontId="1" fillId="15" borderId="1" xfId="0" applyFont="1" applyFill="1" applyBorder="1" applyAlignment="1">
      <alignment horizontal="center" vertical="center"/>
    </xf>
    <xf numFmtId="0" fontId="3" fillId="15" borderId="6" xfId="0" applyFont="1" applyFill="1" applyBorder="1"/>
    <xf numFmtId="14" fontId="1" fillId="15" borderId="2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opLeftCell="A4" workbookViewId="0">
      <selection activeCell="B46" sqref="A1:XFD1048576"/>
    </sheetView>
  </sheetViews>
  <sheetFormatPr defaultColWidth="14.453125" defaultRowHeight="15" customHeight="1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50" t="s">
        <v>0</v>
      </c>
      <c r="B1" s="52" t="s">
        <v>1</v>
      </c>
      <c r="C1" s="25"/>
      <c r="D1" s="38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51"/>
      <c r="B2" s="53"/>
      <c r="C2" s="26" t="s">
        <v>7</v>
      </c>
      <c r="D2" s="27"/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A43:I43"/>
    <mergeCell ref="A13:I14"/>
    <mergeCell ref="J13:J14"/>
    <mergeCell ref="K13:K14"/>
    <mergeCell ref="L13:L14"/>
    <mergeCell ref="J28:J29"/>
    <mergeCell ref="K28:K29"/>
    <mergeCell ref="L28:L29"/>
    <mergeCell ref="A28:I29"/>
    <mergeCell ref="A41:I42"/>
    <mergeCell ref="J41:J42"/>
    <mergeCell ref="K41:K42"/>
    <mergeCell ref="L41:L42"/>
    <mergeCell ref="K6:K7"/>
    <mergeCell ref="L6:L7"/>
    <mergeCell ref="D1:I1"/>
    <mergeCell ref="J1:J2"/>
    <mergeCell ref="K1:K2"/>
    <mergeCell ref="L1:L2"/>
    <mergeCell ref="A6:I7"/>
    <mergeCell ref="J6:J7"/>
    <mergeCell ref="A1:A2"/>
    <mergeCell ref="B1:B2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tabSelected="1" workbookViewId="0">
      <selection activeCell="B12" sqref="B12:B14"/>
    </sheetView>
  </sheetViews>
  <sheetFormatPr defaultColWidth="14.453125" defaultRowHeight="15" customHeight="1"/>
  <cols>
    <col min="1" max="1" width="8.81640625" customWidth="1"/>
    <col min="2" max="2" width="35.7265625" customWidth="1"/>
    <col min="3" max="10" width="21.26953125" customWidth="1"/>
    <col min="11" max="13" width="11.453125" customWidth="1"/>
    <col min="14" max="26" width="8.81640625" customWidth="1"/>
  </cols>
  <sheetData>
    <row r="1" spans="1:13" ht="15.75" customHeight="1">
      <c r="A1" s="64" t="s">
        <v>0</v>
      </c>
      <c r="B1" s="64" t="s">
        <v>1</v>
      </c>
      <c r="C1" s="69" t="s">
        <v>17</v>
      </c>
      <c r="D1" s="70"/>
      <c r="E1" s="70"/>
      <c r="F1" s="70"/>
      <c r="G1" s="70"/>
      <c r="H1" s="70"/>
      <c r="I1" s="70"/>
      <c r="J1" s="71"/>
      <c r="K1" s="72" t="s">
        <v>3</v>
      </c>
      <c r="L1" s="73" t="s">
        <v>5</v>
      </c>
      <c r="M1" s="64" t="s">
        <v>6</v>
      </c>
    </row>
    <row r="2" spans="1:13" ht="15.5">
      <c r="A2" s="65"/>
      <c r="B2" s="65"/>
      <c r="C2" s="22"/>
      <c r="D2" s="22"/>
      <c r="E2" s="22"/>
      <c r="F2" s="22"/>
      <c r="G2" s="22"/>
      <c r="H2" s="22"/>
      <c r="I2" s="23"/>
      <c r="J2" s="23"/>
      <c r="K2" s="65"/>
      <c r="L2" s="65"/>
      <c r="M2" s="65"/>
    </row>
    <row r="3" spans="1:13" ht="15.5">
      <c r="A3" s="1">
        <f>ROW()-ROW('Absensi APR - GPN B '!$A$1)</f>
        <v>2</v>
      </c>
      <c r="B3" s="16"/>
      <c r="C3" s="19"/>
      <c r="D3" s="19"/>
      <c r="E3" s="19"/>
      <c r="F3" s="2"/>
      <c r="G3" s="2"/>
      <c r="H3" s="2"/>
      <c r="I3" s="3"/>
      <c r="J3" s="3"/>
      <c r="K3" s="8">
        <f t="shared" ref="K3:K7" si="0">COUNTA(C3:J3)</f>
        <v>0</v>
      </c>
      <c r="L3" s="1">
        <v>4</v>
      </c>
      <c r="M3" s="9">
        <f t="shared" ref="M3:M7" si="1">K3/L3</f>
        <v>0</v>
      </c>
    </row>
    <row r="4" spans="1:13" ht="15.5">
      <c r="A4" s="1">
        <f>ROW()-ROW('Absensi APR - GPN B '!$A$1)</f>
        <v>3</v>
      </c>
      <c r="B4" s="2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21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20"/>
      <c r="C6" s="17"/>
      <c r="D6" s="19"/>
      <c r="E6" s="19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1">
        <f>ROW()-ROW('Absensi APR - GPN B '!$A$1)</f>
        <v>6</v>
      </c>
      <c r="B7" s="10"/>
      <c r="C7" s="5"/>
      <c r="D7" s="2"/>
      <c r="E7" s="2"/>
      <c r="F7" s="2"/>
      <c r="G7" s="2"/>
      <c r="H7" s="3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66" t="s">
        <v>11</v>
      </c>
      <c r="B8" s="67"/>
      <c r="C8" s="67"/>
      <c r="D8" s="67"/>
      <c r="E8" s="67"/>
      <c r="F8" s="67"/>
      <c r="G8" s="67"/>
      <c r="H8" s="67"/>
      <c r="I8" s="67"/>
      <c r="J8" s="68"/>
      <c r="K8" s="8">
        <f t="shared" ref="K8:L8" si="2">SUM(K3:K7)</f>
        <v>0</v>
      </c>
      <c r="L8" s="3">
        <f t="shared" si="2"/>
        <v>20</v>
      </c>
      <c r="M8" s="9">
        <f>AVERAGE(M4:M7)</f>
        <v>0</v>
      </c>
    </row>
    <row r="12" spans="1:13" ht="14.5">
      <c r="A12" s="24"/>
      <c r="B12" s="32" t="s">
        <v>20</v>
      </c>
    </row>
    <row r="13" spans="1:13" ht="14.5">
      <c r="B13" s="33" t="s">
        <v>18</v>
      </c>
    </row>
    <row r="14" spans="1:13" ht="15" customHeight="1">
      <c r="B14" s="34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M1:M2"/>
    <mergeCell ref="A8:J8"/>
    <mergeCell ref="A1:A2"/>
    <mergeCell ref="B1:B2"/>
    <mergeCell ref="C1:J1"/>
    <mergeCell ref="K1:K2"/>
    <mergeCell ref="L1:L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2E5C-0356-4860-BE02-54F9DA9A0A96}">
  <dimension ref="A1:M14"/>
  <sheetViews>
    <sheetView workbookViewId="0">
      <selection activeCell="B12" sqref="B12:B14"/>
    </sheetView>
  </sheetViews>
  <sheetFormatPr defaultRowHeight="14.5"/>
  <cols>
    <col min="2" max="2" width="24.90625" bestFit="1" customWidth="1"/>
    <col min="4" max="6" width="9.453125" bestFit="1" customWidth="1"/>
    <col min="11" max="11" width="15.6328125" bestFit="1" customWidth="1"/>
    <col min="12" max="12" width="17.81640625" bestFit="1" customWidth="1"/>
    <col min="13" max="13" width="10.54296875" bestFit="1" customWidth="1"/>
  </cols>
  <sheetData>
    <row r="1" spans="1:13" ht="15.5">
      <c r="A1" s="76" t="s">
        <v>0</v>
      </c>
      <c r="B1" s="76" t="s">
        <v>1</v>
      </c>
      <c r="C1" s="77" t="s">
        <v>16</v>
      </c>
      <c r="D1" s="55"/>
      <c r="E1" s="55"/>
      <c r="F1" s="55"/>
      <c r="G1" s="55"/>
      <c r="H1" s="55"/>
      <c r="I1" s="55"/>
      <c r="J1" s="56"/>
      <c r="K1" s="74" t="s">
        <v>3</v>
      </c>
      <c r="L1" s="74" t="s">
        <v>5</v>
      </c>
      <c r="M1" s="76" t="s">
        <v>6</v>
      </c>
    </row>
    <row r="2" spans="1:13" ht="15.5">
      <c r="A2" s="36"/>
      <c r="B2" s="36"/>
      <c r="C2" s="2"/>
      <c r="D2" s="2"/>
      <c r="E2" s="2"/>
      <c r="F2" s="2"/>
      <c r="G2" s="2"/>
      <c r="H2" s="2"/>
      <c r="I2" s="3"/>
      <c r="J2" s="3"/>
      <c r="K2" s="36"/>
      <c r="L2" s="75"/>
      <c r="M2" s="36"/>
    </row>
    <row r="3" spans="1:13" ht="15.5">
      <c r="A3" s="1">
        <f>ROW()-ROW('Absensi APR - GPN B '!$A$1)</f>
        <v>2</v>
      </c>
      <c r="B3" s="16"/>
      <c r="C3" s="2"/>
      <c r="D3" s="2"/>
      <c r="E3" s="2"/>
      <c r="F3" s="2"/>
      <c r="G3" s="2"/>
      <c r="H3" s="2"/>
      <c r="I3" s="3"/>
      <c r="J3" s="3"/>
      <c r="K3" s="8">
        <f t="shared" ref="K3:K8" si="0">COUNTA(C3:J3)</f>
        <v>0</v>
      </c>
      <c r="L3" s="1">
        <v>4</v>
      </c>
      <c r="M3" s="9">
        <f t="shared" ref="M3:M8" si="1">K3/L3</f>
        <v>0</v>
      </c>
    </row>
    <row r="4" spans="1:13" ht="15.5">
      <c r="A4" s="1">
        <f>ROW()-ROW('Absensi APR - GPN B '!$A$1)</f>
        <v>3</v>
      </c>
      <c r="B4" s="1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4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10"/>
      <c r="C6" s="5"/>
      <c r="D6" s="2"/>
      <c r="E6" s="2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">
        <f>ROW()-ROW('Absensi APR - GPN B '!$A$1)</f>
        <v>6</v>
      </c>
      <c r="B7" s="10"/>
      <c r="C7" s="5"/>
      <c r="D7" s="2"/>
      <c r="E7" s="2"/>
      <c r="F7" s="2"/>
      <c r="G7" s="2"/>
      <c r="H7" s="2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11">
        <f>ROW()-ROW('Absensi APR - GPN B '!$A$1)</f>
        <v>7</v>
      </c>
      <c r="B8" s="10"/>
      <c r="C8" s="5"/>
      <c r="D8" s="2"/>
      <c r="E8" s="2"/>
      <c r="F8" s="2"/>
      <c r="G8" s="2"/>
      <c r="H8" s="3"/>
      <c r="I8" s="3"/>
      <c r="J8" s="3"/>
      <c r="K8" s="8">
        <f t="shared" si="0"/>
        <v>0</v>
      </c>
      <c r="L8" s="1">
        <v>4</v>
      </c>
      <c r="M8" s="9">
        <f t="shared" si="1"/>
        <v>0</v>
      </c>
    </row>
    <row r="9" spans="1:13" ht="15.5">
      <c r="A9" s="54" t="s">
        <v>11</v>
      </c>
      <c r="B9" s="55"/>
      <c r="C9" s="55"/>
      <c r="D9" s="55"/>
      <c r="E9" s="55"/>
      <c r="F9" s="55"/>
      <c r="G9" s="55"/>
      <c r="H9" s="55"/>
      <c r="I9" s="55"/>
      <c r="J9" s="56"/>
      <c r="K9" s="8">
        <f>SUM(K3:K8)</f>
        <v>0</v>
      </c>
      <c r="L9" s="3">
        <f>SUM(L3:L8)</f>
        <v>24</v>
      </c>
      <c r="M9" s="9">
        <f>AVERAGE(M4:M8)</f>
        <v>0</v>
      </c>
    </row>
    <row r="12" spans="1:13">
      <c r="B12" s="32" t="s">
        <v>20</v>
      </c>
    </row>
    <row r="13" spans="1:13">
      <c r="B13" s="33" t="s">
        <v>18</v>
      </c>
    </row>
    <row r="14" spans="1:13">
      <c r="B14" s="34" t="s">
        <v>19</v>
      </c>
    </row>
  </sheetData>
  <mergeCells count="7">
    <mergeCell ref="L1:L2"/>
    <mergeCell ref="M1:M2"/>
    <mergeCell ref="A9:J9"/>
    <mergeCell ref="A1:A2"/>
    <mergeCell ref="B1:B2"/>
    <mergeCell ref="C1:J1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6760-D8AE-4197-A803-326E53AA324C}">
  <dimension ref="A1:L1000"/>
  <sheetViews>
    <sheetView workbookViewId="0">
      <selection activeCell="A41" sqref="A41:I42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50" t="s">
        <v>0</v>
      </c>
      <c r="B1" s="52" t="s">
        <v>1</v>
      </c>
      <c r="C1" s="25"/>
      <c r="D1" s="38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51"/>
      <c r="B2" s="53"/>
      <c r="C2" s="26" t="s">
        <v>7</v>
      </c>
      <c r="D2" s="27"/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A41:I42"/>
    <mergeCell ref="J41:J42"/>
    <mergeCell ref="K41:K42"/>
    <mergeCell ref="L41:L42"/>
    <mergeCell ref="A43:I43"/>
    <mergeCell ref="A13:I14"/>
    <mergeCell ref="J13:J14"/>
    <mergeCell ref="K13:K14"/>
    <mergeCell ref="L13:L14"/>
    <mergeCell ref="A28:I29"/>
    <mergeCell ref="J28:J29"/>
    <mergeCell ref="K28:K29"/>
    <mergeCell ref="L28:L29"/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2E18-42B6-4AEA-99EC-C0A09429BFEC}">
  <dimension ref="A1:L1000"/>
  <sheetViews>
    <sheetView topLeftCell="A34" workbookViewId="0">
      <selection sqref="A1:XFD1048576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50" t="s">
        <v>0</v>
      </c>
      <c r="B1" s="52" t="s">
        <v>1</v>
      </c>
      <c r="C1" s="25"/>
      <c r="D1" s="38" t="s">
        <v>4</v>
      </c>
      <c r="E1" s="39"/>
      <c r="F1" s="39"/>
      <c r="G1" s="39"/>
      <c r="H1" s="39"/>
      <c r="I1" s="40"/>
      <c r="J1" s="41" t="s">
        <v>2</v>
      </c>
      <c r="K1" s="41" t="s">
        <v>5</v>
      </c>
      <c r="L1" s="43" t="s">
        <v>6</v>
      </c>
    </row>
    <row r="2" spans="1:12" ht="15.75" customHeight="1">
      <c r="A2" s="51"/>
      <c r="B2" s="53"/>
      <c r="C2" s="26" t="s">
        <v>7</v>
      </c>
      <c r="D2" s="27"/>
      <c r="E2" s="27"/>
      <c r="F2" s="27"/>
      <c r="G2" s="27"/>
      <c r="H2" s="27"/>
      <c r="I2" s="27"/>
      <c r="J2" s="42"/>
      <c r="K2" s="42"/>
      <c r="L2" s="42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44" t="s">
        <v>9</v>
      </c>
      <c r="B6" s="45"/>
      <c r="C6" s="45"/>
      <c r="D6" s="45"/>
      <c r="E6" s="45"/>
      <c r="F6" s="45"/>
      <c r="G6" s="45"/>
      <c r="H6" s="45"/>
      <c r="I6" s="46"/>
      <c r="J6" s="35">
        <f t="shared" ref="J6:K6" si="2">SUM(J3:J5)</f>
        <v>0</v>
      </c>
      <c r="K6" s="35">
        <f t="shared" si="2"/>
        <v>12</v>
      </c>
      <c r="L6" s="37">
        <f>AVERAGE(L3:L5)</f>
        <v>0</v>
      </c>
    </row>
    <row r="7" spans="1:12" ht="15.75" customHeight="1">
      <c r="A7" s="47"/>
      <c r="B7" s="48"/>
      <c r="C7" s="48"/>
      <c r="D7" s="48"/>
      <c r="E7" s="48"/>
      <c r="F7" s="48"/>
      <c r="G7" s="48"/>
      <c r="H7" s="48"/>
      <c r="I7" s="49"/>
      <c r="J7" s="36"/>
      <c r="K7" s="36"/>
      <c r="L7" s="36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57" t="s">
        <v>13</v>
      </c>
      <c r="B13" s="45"/>
      <c r="C13" s="45"/>
      <c r="D13" s="45"/>
      <c r="E13" s="45"/>
      <c r="F13" s="45"/>
      <c r="G13" s="45"/>
      <c r="H13" s="45"/>
      <c r="I13" s="46"/>
      <c r="J13" s="58">
        <f t="shared" ref="J13:K13" si="6">SUM(J8:J12)</f>
        <v>0</v>
      </c>
      <c r="K13" s="58">
        <f t="shared" si="6"/>
        <v>20</v>
      </c>
      <c r="L13" s="59">
        <f>AVERAGE(L8:L12)</f>
        <v>0</v>
      </c>
    </row>
    <row r="14" spans="1:12" ht="15.75" customHeight="1">
      <c r="A14" s="47"/>
      <c r="B14" s="48"/>
      <c r="C14" s="48"/>
      <c r="D14" s="48"/>
      <c r="E14" s="48"/>
      <c r="F14" s="48"/>
      <c r="G14" s="48"/>
      <c r="H14" s="48"/>
      <c r="I14" s="49"/>
      <c r="J14" s="36"/>
      <c r="K14" s="36"/>
      <c r="L14" s="36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57" t="s">
        <v>13</v>
      </c>
      <c r="B28" s="45"/>
      <c r="C28" s="45"/>
      <c r="D28" s="45"/>
      <c r="E28" s="45"/>
      <c r="F28" s="45"/>
      <c r="G28" s="45"/>
      <c r="H28" s="45"/>
      <c r="I28" s="46"/>
      <c r="J28" s="60">
        <f t="shared" ref="J28:K28" si="10">SUM(J15:J27)</f>
        <v>0</v>
      </c>
      <c r="K28" s="60">
        <f t="shared" si="10"/>
        <v>52</v>
      </c>
      <c r="L28" s="59">
        <f>AVERAGE(L15:L27)</f>
        <v>0</v>
      </c>
    </row>
    <row r="29" spans="1:12" ht="15.75" customHeight="1">
      <c r="A29" s="47"/>
      <c r="B29" s="48"/>
      <c r="C29" s="48"/>
      <c r="D29" s="48"/>
      <c r="E29" s="48"/>
      <c r="F29" s="48"/>
      <c r="G29" s="48"/>
      <c r="H29" s="48"/>
      <c r="I29" s="49"/>
      <c r="J29" s="36"/>
      <c r="K29" s="36"/>
      <c r="L29" s="36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61" t="s">
        <v>13</v>
      </c>
      <c r="B41" s="45"/>
      <c r="C41" s="45"/>
      <c r="D41" s="45"/>
      <c r="E41" s="45"/>
      <c r="F41" s="45"/>
      <c r="G41" s="45"/>
      <c r="H41" s="45"/>
      <c r="I41" s="46"/>
      <c r="J41" s="62">
        <f t="shared" ref="J41:K41" si="14">SUM(J30:J40)</f>
        <v>0</v>
      </c>
      <c r="K41" s="62">
        <f t="shared" si="14"/>
        <v>44</v>
      </c>
      <c r="L41" s="59">
        <f>AVERAGE(L30:L40)</f>
        <v>0</v>
      </c>
    </row>
    <row r="42" spans="1:12" ht="15.75" customHeight="1">
      <c r="A42" s="48"/>
      <c r="B42" s="48"/>
      <c r="C42" s="48"/>
      <c r="D42" s="48"/>
      <c r="E42" s="48"/>
      <c r="F42" s="48"/>
      <c r="G42" s="48"/>
      <c r="H42" s="48"/>
      <c r="I42" s="49"/>
      <c r="J42" s="63"/>
      <c r="K42" s="63"/>
      <c r="L42" s="36"/>
    </row>
    <row r="43" spans="1:12" ht="15.75" customHeight="1">
      <c r="A43" s="54" t="s">
        <v>15</v>
      </c>
      <c r="B43" s="55"/>
      <c r="C43" s="55"/>
      <c r="D43" s="55"/>
      <c r="E43" s="55"/>
      <c r="F43" s="55"/>
      <c r="G43" s="55"/>
      <c r="H43" s="55"/>
      <c r="I43" s="56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A41:I42"/>
    <mergeCell ref="J41:J42"/>
    <mergeCell ref="K41:K42"/>
    <mergeCell ref="L41:L42"/>
    <mergeCell ref="A43:I43"/>
    <mergeCell ref="A13:I14"/>
    <mergeCell ref="J13:J14"/>
    <mergeCell ref="K13:K14"/>
    <mergeCell ref="L13:L14"/>
    <mergeCell ref="A28:I29"/>
    <mergeCell ref="J28:J29"/>
    <mergeCell ref="K28:K29"/>
    <mergeCell ref="L28:L29"/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C82A1-A58B-400A-8943-66670353E037}">
  <dimension ref="A1:M13"/>
  <sheetViews>
    <sheetView topLeftCell="A4" workbookViewId="0">
      <selection activeCell="E14" sqref="E14"/>
    </sheetView>
  </sheetViews>
  <sheetFormatPr defaultRowHeight="14.5"/>
  <sheetData>
    <row r="1" spans="1:13" ht="15.5">
      <c r="A1" s="81" t="s">
        <v>0</v>
      </c>
      <c r="B1" s="81" t="s">
        <v>1</v>
      </c>
      <c r="C1" s="83" t="s">
        <v>17</v>
      </c>
      <c r="D1" s="79"/>
      <c r="E1" s="79"/>
      <c r="F1" s="79"/>
      <c r="G1" s="79"/>
      <c r="H1" s="79"/>
      <c r="I1" s="79"/>
      <c r="J1" s="80"/>
      <c r="K1" s="84" t="s">
        <v>3</v>
      </c>
      <c r="L1" s="85" t="s">
        <v>5</v>
      </c>
      <c r="M1" s="81" t="s">
        <v>6</v>
      </c>
    </row>
    <row r="2" spans="1:13" ht="15.5">
      <c r="A2" s="82"/>
      <c r="B2" s="82"/>
      <c r="C2" s="28"/>
      <c r="D2" s="28"/>
      <c r="E2" s="28"/>
      <c r="F2" s="28"/>
      <c r="G2" s="28"/>
      <c r="H2" s="28"/>
      <c r="I2" s="29"/>
      <c r="J2" s="29"/>
      <c r="K2" s="82"/>
      <c r="L2" s="82"/>
      <c r="M2" s="82"/>
    </row>
    <row r="3" spans="1:13" ht="15.5">
      <c r="A3" s="1">
        <f>ROW()-ROW('Absensi APR - GPN B '!$A$1)</f>
        <v>2</v>
      </c>
      <c r="B3" s="16"/>
      <c r="C3" s="19"/>
      <c r="D3" s="19"/>
      <c r="E3" s="19"/>
      <c r="F3" s="2"/>
      <c r="G3" s="2"/>
      <c r="H3" s="2"/>
      <c r="I3" s="3"/>
      <c r="J3" s="3"/>
      <c r="K3" s="8">
        <f t="shared" ref="K3:K7" si="0">COUNTA(C3:J3)</f>
        <v>0</v>
      </c>
      <c r="L3" s="1">
        <v>4</v>
      </c>
      <c r="M3" s="9">
        <f t="shared" ref="M3:M7" si="1">K3/L3</f>
        <v>0</v>
      </c>
    </row>
    <row r="4" spans="1:13" ht="15.5">
      <c r="A4" s="1">
        <f>ROW()-ROW('Absensi APR - GPN B '!$A$1)</f>
        <v>3</v>
      </c>
      <c r="B4" s="2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21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20"/>
      <c r="C6" s="17"/>
      <c r="D6" s="19"/>
      <c r="E6" s="19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1">
        <f>ROW()-ROW('Absensi APR - GPN B '!$A$1)</f>
        <v>6</v>
      </c>
      <c r="B7" s="10"/>
      <c r="C7" s="5"/>
      <c r="D7" s="2"/>
      <c r="E7" s="2"/>
      <c r="F7" s="2"/>
      <c r="G7" s="2"/>
      <c r="H7" s="3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78" t="s">
        <v>11</v>
      </c>
      <c r="B8" s="79"/>
      <c r="C8" s="79"/>
      <c r="D8" s="79"/>
      <c r="E8" s="79"/>
      <c r="F8" s="79"/>
      <c r="G8" s="79"/>
      <c r="H8" s="79"/>
      <c r="I8" s="79"/>
      <c r="J8" s="80"/>
      <c r="K8" s="30">
        <f t="shared" ref="K8:L8" si="2">SUM(K3:K7)</f>
        <v>0</v>
      </c>
      <c r="L8" s="29">
        <f t="shared" si="2"/>
        <v>20</v>
      </c>
      <c r="M8" s="31">
        <f>AVERAGE(M4:M7)</f>
        <v>0</v>
      </c>
    </row>
    <row r="11" spans="1:13">
      <c r="B11" s="32" t="s">
        <v>20</v>
      </c>
    </row>
    <row r="12" spans="1:13">
      <c r="B12" s="33" t="s">
        <v>18</v>
      </c>
    </row>
    <row r="13" spans="1:13">
      <c r="B13" s="34" t="s">
        <v>19</v>
      </c>
    </row>
  </sheetData>
  <mergeCells count="7">
    <mergeCell ref="L1:L2"/>
    <mergeCell ref="M1:M2"/>
    <mergeCell ref="A8:J8"/>
    <mergeCell ref="A1:A2"/>
    <mergeCell ref="B1:B2"/>
    <mergeCell ref="C1:J1"/>
    <mergeCell ref="K1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Absensi APR - GPN B </vt:lpstr>
      <vt:lpstr>Absensi AR Intensif</vt:lpstr>
      <vt:lpstr>Absensi ACR</vt:lpstr>
      <vt:lpstr>Pengajian Desa</vt:lpstr>
      <vt:lpstr>Pengajian Daerah</vt:lpstr>
      <vt:lpstr>Absen Generus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Farhan Abdillah</dc:creator>
  <cp:lastModifiedBy>admin</cp:lastModifiedBy>
  <dcterms:created xsi:type="dcterms:W3CDTF">2023-04-01T05:22:16Z</dcterms:created>
  <dcterms:modified xsi:type="dcterms:W3CDTF">2026-07-31T02:58:39Z</dcterms:modified>
</cp:coreProperties>
</file>