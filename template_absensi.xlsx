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4ABA6DB2-9905-45FA-B9DC-87B110AB5229}" xr6:coauthVersionLast="47" xr6:coauthVersionMax="47" xr10:uidLastSave="{00000000-0000-0000-0000-000000000000}"/>
  <bookViews>
    <workbookView xWindow="-110" yWindow="-110" windowWidth="19420" windowHeight="10420" firstSheet="1" activeTab="5" xr2:uid="{00000000-000D-0000-FFFF-FFFF00000000}"/>
  </bookViews>
  <sheets>
    <sheet name="Absensi APR - GPN B " sheetId="1" r:id="rId1"/>
    <sheet name="Absensi AR Intensif" sheetId="2" r:id="rId2"/>
    <sheet name="Absensi ACR" sheetId="7" r:id="rId3"/>
    <sheet name="Pengajian Desa" sheetId="9" r:id="rId4"/>
    <sheet name="Pengajian Daerah" sheetId="10" r:id="rId5"/>
    <sheet name="Absen Generus Baru" sheetId="11" r:id="rId6"/>
  </sheets>
  <calcPr calcId="191029"/>
  <extLst>
    <ext uri="GoogleSheetsCustomDataVersion2">
      <go:sheetsCustomData xmlns:go="http://customooxmlschemas.google.com/" r:id="rId10" roundtripDataChecksum="luSmfwoRC4fttvf+I6PkxSZqAZ9FUsbGx79UdsLN9mE="/>
    </ext>
  </extLst>
</workbook>
</file>

<file path=xl/calcChain.xml><?xml version="1.0" encoding="utf-8"?>
<calcChain xmlns="http://schemas.openxmlformats.org/spreadsheetml/2006/main">
  <c r="L8" i="11" l="1"/>
  <c r="K8" i="11"/>
  <c r="K7" i="11"/>
  <c r="M7" i="11" s="1"/>
  <c r="A7" i="11"/>
  <c r="K6" i="11"/>
  <c r="M6" i="11" s="1"/>
  <c r="A6" i="11"/>
  <c r="K5" i="11"/>
  <c r="M5" i="11" s="1"/>
  <c r="A5" i="11"/>
  <c r="K4" i="11"/>
  <c r="M4" i="11" s="1"/>
  <c r="M8" i="11" s="1"/>
  <c r="A4" i="11"/>
  <c r="K3" i="11"/>
  <c r="M3" i="11" s="1"/>
  <c r="A3" i="11"/>
  <c r="L8" i="10"/>
  <c r="K7" i="10"/>
  <c r="M7" i="10" s="1"/>
  <c r="A7" i="10"/>
  <c r="K6" i="10"/>
  <c r="M6" i="10" s="1"/>
  <c r="A6" i="10"/>
  <c r="M5" i="10"/>
  <c r="K5" i="10"/>
  <c r="A5" i="10"/>
  <c r="K4" i="10"/>
  <c r="M4" i="10" s="1"/>
  <c r="M8" i="10" s="1"/>
  <c r="A4" i="10"/>
  <c r="K3" i="10"/>
  <c r="K8" i="10" s="1"/>
  <c r="A3" i="10"/>
  <c r="L8" i="9"/>
  <c r="K7" i="9"/>
  <c r="M7" i="9" s="1"/>
  <c r="A7" i="9"/>
  <c r="K6" i="9"/>
  <c r="M6" i="9" s="1"/>
  <c r="A6" i="9"/>
  <c r="K5" i="9"/>
  <c r="M5" i="9" s="1"/>
  <c r="A5" i="9"/>
  <c r="K4" i="9"/>
  <c r="M4" i="9" s="1"/>
  <c r="M8" i="9" s="1"/>
  <c r="A4" i="9"/>
  <c r="K3" i="9"/>
  <c r="K8" i="9" s="1"/>
  <c r="A3" i="9"/>
  <c r="M7" i="7"/>
  <c r="K7" i="7"/>
  <c r="A7" i="7"/>
  <c r="L9" i="7"/>
  <c r="K8" i="7"/>
  <c r="M8" i="7" s="1"/>
  <c r="A8" i="7"/>
  <c r="K6" i="7"/>
  <c r="M6" i="7" s="1"/>
  <c r="A6" i="7"/>
  <c r="K5" i="7"/>
  <c r="M5" i="7" s="1"/>
  <c r="A5" i="7"/>
  <c r="K4" i="7"/>
  <c r="M4" i="7" s="1"/>
  <c r="A4" i="7"/>
  <c r="K3" i="7"/>
  <c r="A3" i="7"/>
  <c r="L8" i="2"/>
  <c r="K7" i="2"/>
  <c r="M7" i="2" s="1"/>
  <c r="A7" i="2"/>
  <c r="K6" i="2"/>
  <c r="M6" i="2" s="1"/>
  <c r="A6" i="2"/>
  <c r="K5" i="2"/>
  <c r="M5" i="2" s="1"/>
  <c r="A5" i="2"/>
  <c r="K4" i="2"/>
  <c r="M4" i="2" s="1"/>
  <c r="A4" i="2"/>
  <c r="K3" i="2"/>
  <c r="K8" i="2" s="1"/>
  <c r="A3" i="2"/>
  <c r="K41" i="1"/>
  <c r="J40" i="1"/>
  <c r="L40" i="1" s="1"/>
  <c r="A40" i="1"/>
  <c r="J39" i="1"/>
  <c r="L39" i="1" s="1"/>
  <c r="A39" i="1"/>
  <c r="J38" i="1"/>
  <c r="L38" i="1" s="1"/>
  <c r="A38" i="1"/>
  <c r="J37" i="1"/>
  <c r="L37" i="1" s="1"/>
  <c r="A37" i="1"/>
  <c r="L36" i="1"/>
  <c r="J36" i="1"/>
  <c r="A36" i="1"/>
  <c r="J35" i="1"/>
  <c r="L35" i="1" s="1"/>
  <c r="A35" i="1"/>
  <c r="J34" i="1"/>
  <c r="L34" i="1" s="1"/>
  <c r="A34" i="1"/>
  <c r="J33" i="1"/>
  <c r="L33" i="1" s="1"/>
  <c r="A33" i="1"/>
  <c r="J32" i="1"/>
  <c r="L32" i="1" s="1"/>
  <c r="A32" i="1"/>
  <c r="L31" i="1"/>
  <c r="J31" i="1"/>
  <c r="A31" i="1"/>
  <c r="J30" i="1"/>
  <c r="L30" i="1" s="1"/>
  <c r="A30" i="1"/>
  <c r="K28" i="1"/>
  <c r="L27" i="1"/>
  <c r="J27" i="1"/>
  <c r="A27" i="1"/>
  <c r="J26" i="1"/>
  <c r="L26" i="1" s="1"/>
  <c r="A26" i="1"/>
  <c r="J25" i="1"/>
  <c r="L25" i="1" s="1"/>
  <c r="A25" i="1"/>
  <c r="J24" i="1"/>
  <c r="L24" i="1" s="1"/>
  <c r="A24" i="1"/>
  <c r="J23" i="1"/>
  <c r="L23" i="1" s="1"/>
  <c r="A23" i="1"/>
  <c r="J22" i="1"/>
  <c r="L22" i="1" s="1"/>
  <c r="A22" i="1"/>
  <c r="J21" i="1"/>
  <c r="L21" i="1" s="1"/>
  <c r="A21" i="1"/>
  <c r="J20" i="1"/>
  <c r="L20" i="1" s="1"/>
  <c r="A20" i="1"/>
  <c r="J19" i="1"/>
  <c r="L19" i="1" s="1"/>
  <c r="A19" i="1"/>
  <c r="J18" i="1"/>
  <c r="L18" i="1" s="1"/>
  <c r="A18" i="1"/>
  <c r="J17" i="1"/>
  <c r="L17" i="1" s="1"/>
  <c r="A17" i="1"/>
  <c r="J16" i="1"/>
  <c r="L16" i="1" s="1"/>
  <c r="A16" i="1"/>
  <c r="J15" i="1"/>
  <c r="L15" i="1" s="1"/>
  <c r="A15" i="1"/>
  <c r="K13" i="1"/>
  <c r="J12" i="1"/>
  <c r="L12" i="1" s="1"/>
  <c r="A12" i="1"/>
  <c r="J11" i="1"/>
  <c r="L11" i="1" s="1"/>
  <c r="A11" i="1"/>
  <c r="J10" i="1"/>
  <c r="L10" i="1" s="1"/>
  <c r="A10" i="1"/>
  <c r="J9" i="1"/>
  <c r="L9" i="1" s="1"/>
  <c r="A9" i="1"/>
  <c r="J8" i="1"/>
  <c r="A8" i="1"/>
  <c r="K6" i="1"/>
  <c r="K43" i="1" s="1"/>
  <c r="L5" i="1"/>
  <c r="J5" i="1"/>
  <c r="A5" i="1"/>
  <c r="J4" i="1"/>
  <c r="L4" i="1" s="1"/>
  <c r="A4" i="1"/>
  <c r="J3" i="1"/>
  <c r="L3" i="1" s="1"/>
  <c r="A3" i="1"/>
  <c r="M3" i="10" l="1"/>
  <c r="M3" i="9"/>
  <c r="K9" i="7"/>
  <c r="M9" i="7"/>
  <c r="M3" i="7"/>
  <c r="L41" i="1"/>
  <c r="L28" i="1"/>
  <c r="J13" i="1"/>
  <c r="L6" i="1"/>
  <c r="M8" i="2"/>
  <c r="L8" i="1"/>
  <c r="L13" i="1" s="1"/>
  <c r="J41" i="1"/>
  <c r="M3" i="2"/>
  <c r="J6" i="1"/>
  <c r="J43" i="1" s="1"/>
  <c r="J28" i="1"/>
  <c r="L43" i="1" l="1"/>
</calcChain>
</file>

<file path=xl/sharedStrings.xml><?xml version="1.0" encoding="utf-8"?>
<sst xmlns="http://schemas.openxmlformats.org/spreadsheetml/2006/main" count="97" uniqueCount="21">
  <si>
    <t>No</t>
  </si>
  <si>
    <t>Nama Lengkap</t>
  </si>
  <si>
    <t>Akumulasi Kehadiran</t>
  </si>
  <si>
    <t>Akumulasi Hadir</t>
  </si>
  <si>
    <t>Tanggal Hadir</t>
  </si>
  <si>
    <t>Jumlah Pertemuan</t>
  </si>
  <si>
    <t>Presentase</t>
  </si>
  <si>
    <t>Kategori</t>
  </si>
  <si>
    <t>APR</t>
  </si>
  <si>
    <t xml:space="preserve"> Total</t>
  </si>
  <si>
    <t>AR</t>
  </si>
  <si>
    <t>Total Akumulasi Hadir &amp; Presentase</t>
  </si>
  <si>
    <t>GPNA</t>
  </si>
  <si>
    <t>Total</t>
  </si>
  <si>
    <t>GPNB</t>
  </si>
  <si>
    <t>Total Akumulasi Kehadiran &amp; Presentase</t>
  </si>
  <si>
    <t xml:space="preserve">Tanggal </t>
  </si>
  <si>
    <t>Tanggal Absen</t>
  </si>
  <si>
    <t xml:space="preserve">IZIN </t>
  </si>
  <si>
    <t>ALPHA</t>
  </si>
  <si>
    <t xml:space="preserve">HADIR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</si>
</sst>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scheme val="minor"/>
    </font>
    <font>
      <sz val="12"/>
      <color theme="1"/>
      <name val="Calibri"/>
    </font>
    <font>
      <sz val="11"/>
      <color theme="1"/>
      <name val="Calibri"/>
    </font>
    <font>
      <sz val="11"/>
      <name val="Calibri"/>
    </font>
    <font>
      <b/>
      <sz val="11"/>
      <color theme="1"/>
      <name val="Calibri"/>
    </font>
  </fonts>
  <fills count="21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  <fill>
      <patternFill patternType="solid">
        <fgColor rgb="FF8EAADB"/>
        <bgColor rgb="FF8EAADB"/>
      </patternFill>
    </fill>
    <fill>
      <patternFill patternType="solid">
        <fgColor theme="0"/>
        <bgColor rgb="FFF7CAA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C5E0B3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rgb="FFFF0000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39997558519241921"/>
        <bgColor rgb="FFF4B083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5" xfId="0" applyFont="1" applyBorder="1" applyAlignment="1">
      <alignment horizontal="center"/>
    </xf>
    <xf numFmtId="15" fontId="1" fillId="0" borderId="5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49" fontId="1" fillId="0" borderId="5" xfId="0" applyNumberFormat="1" applyFont="1" applyBorder="1" applyAlignment="1">
      <alignment horizontal="left" vertical="center"/>
    </xf>
    <xf numFmtId="0" fontId="1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15" fontId="1" fillId="2" borderId="5" xfId="0" applyNumberFormat="1" applyFont="1" applyFill="1" applyBorder="1" applyAlignment="1">
      <alignment horizontal="center" vertical="center"/>
    </xf>
    <xf numFmtId="1" fontId="1" fillId="0" borderId="5" xfId="0" applyNumberFormat="1" applyFont="1" applyBorder="1" applyAlignment="1">
      <alignment horizontal="center" vertical="center"/>
    </xf>
    <xf numFmtId="9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left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2" fillId="0" borderId="5" xfId="0" applyFont="1" applyBorder="1"/>
    <xf numFmtId="0" fontId="1" fillId="0" borderId="5" xfId="0" applyFont="1" applyBorder="1" applyAlignment="1">
      <alignment horizontal="left" vertical="top"/>
    </xf>
    <xf numFmtId="0" fontId="4" fillId="0" borderId="5" xfId="0" applyFont="1" applyBorder="1" applyAlignment="1">
      <alignment horizontal="center" vertical="center"/>
    </xf>
    <xf numFmtId="0" fontId="1" fillId="6" borderId="5" xfId="0" applyFont="1" applyFill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/>
    <xf numFmtId="0" fontId="1" fillId="0" borderId="7" xfId="0" applyFont="1" applyBorder="1" applyAlignment="1">
      <alignment horizontal="center" vertical="center"/>
    </xf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12" xfId="0" applyFont="1" applyBorder="1"/>
    <xf numFmtId="0" fontId="4" fillId="4" borderId="1" xfId="0" applyFont="1" applyFill="1" applyBorder="1" applyAlignment="1">
      <alignment horizontal="center" vertical="center" wrapText="1"/>
    </xf>
    <xf numFmtId="0" fontId="3" fillId="0" borderId="6" xfId="0" applyFont="1" applyBorder="1"/>
    <xf numFmtId="9" fontId="4" fillId="0" borderId="1" xfId="0" applyNumberFormat="1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vertical="center"/>
    </xf>
    <xf numFmtId="0" fontId="1" fillId="7" borderId="5" xfId="0" applyFont="1" applyFill="1" applyBorder="1" applyAlignment="1">
      <alignment horizontal="center" vertical="center"/>
    </xf>
    <xf numFmtId="0" fontId="1" fillId="8" borderId="5" xfId="0" applyFont="1" applyFill="1" applyBorder="1" applyAlignment="1">
      <alignment horizontal="center" vertical="center"/>
    </xf>
    <xf numFmtId="15" fontId="1" fillId="7" borderId="5" xfId="0" applyNumberFormat="1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left"/>
    </xf>
    <xf numFmtId="49" fontId="1" fillId="7" borderId="5" xfId="0" applyNumberFormat="1" applyFont="1" applyFill="1" applyBorder="1" applyAlignment="1">
      <alignment horizontal="left" vertical="center"/>
    </xf>
    <xf numFmtId="0" fontId="1" fillId="9" borderId="1" xfId="0" applyFont="1" applyFill="1" applyBorder="1" applyAlignment="1">
      <alignment horizontal="center" vertical="center"/>
    </xf>
    <xf numFmtId="0" fontId="3" fillId="9" borderId="6" xfId="0" applyFont="1" applyFill="1" applyBorder="1"/>
    <xf numFmtId="14" fontId="1" fillId="9" borderId="2" xfId="0" applyNumberFormat="1" applyFont="1" applyFill="1" applyBorder="1" applyAlignment="1">
      <alignment horizontal="center" vertical="center"/>
    </xf>
    <xf numFmtId="0" fontId="3" fillId="9" borderId="3" xfId="0" applyFont="1" applyFill="1" applyBorder="1"/>
    <xf numFmtId="0" fontId="3" fillId="9" borderId="4" xfId="0" applyFont="1" applyFill="1" applyBorder="1"/>
    <xf numFmtId="0" fontId="1" fillId="9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wrapText="1"/>
    </xf>
    <xf numFmtId="15" fontId="1" fillId="9" borderId="5" xfId="0" applyNumberFormat="1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/>
    </xf>
    <xf numFmtId="0" fontId="1" fillId="10" borderId="2" xfId="0" applyFont="1" applyFill="1" applyBorder="1" applyAlignment="1">
      <alignment horizontal="center" vertical="center"/>
    </xf>
    <xf numFmtId="0" fontId="3" fillId="10" borderId="3" xfId="0" applyFont="1" applyFill="1" applyBorder="1"/>
    <xf numFmtId="0" fontId="3" fillId="10" borderId="4" xfId="0" applyFont="1" applyFill="1" applyBorder="1"/>
    <xf numFmtId="0" fontId="2" fillId="11" borderId="13" xfId="0" applyFont="1" applyFill="1" applyBorder="1"/>
    <xf numFmtId="0" fontId="3" fillId="12" borderId="3" xfId="0" applyFont="1" applyFill="1" applyBorder="1"/>
    <xf numFmtId="0" fontId="3" fillId="12" borderId="4" xfId="0" applyFont="1" applyFill="1" applyBorder="1"/>
    <xf numFmtId="0" fontId="1" fillId="13" borderId="2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/>
    </xf>
    <xf numFmtId="0" fontId="1" fillId="12" borderId="5" xfId="0" applyFont="1" applyFill="1" applyBorder="1" applyAlignment="1">
      <alignment horizontal="center"/>
    </xf>
    <xf numFmtId="15" fontId="1" fillId="12" borderId="5" xfId="0" applyNumberFormat="1" applyFont="1" applyFill="1" applyBorder="1" applyAlignment="1">
      <alignment horizontal="center" vertical="center"/>
    </xf>
    <xf numFmtId="0" fontId="3" fillId="12" borderId="6" xfId="0" applyFont="1" applyFill="1" applyBorder="1"/>
    <xf numFmtId="0" fontId="4" fillId="14" borderId="1" xfId="0" applyFont="1" applyFill="1" applyBorder="1" applyAlignment="1">
      <alignment horizontal="center" vertical="center" wrapText="1"/>
    </xf>
    <xf numFmtId="0" fontId="3" fillId="14" borderId="6" xfId="0" applyFont="1" applyFill="1" applyBorder="1"/>
    <xf numFmtId="0" fontId="3" fillId="12" borderId="4" xfId="0" applyFont="1" applyFill="1" applyBorder="1" applyAlignment="1"/>
    <xf numFmtId="0" fontId="1" fillId="12" borderId="7" xfId="0" applyFont="1" applyFill="1" applyBorder="1" applyAlignment="1">
      <alignment horizontal="center"/>
    </xf>
    <xf numFmtId="0" fontId="1" fillId="12" borderId="10" xfId="0" applyFont="1" applyFill="1" applyBorder="1" applyAlignment="1">
      <alignment horizontal="center"/>
    </xf>
    <xf numFmtId="0" fontId="1" fillId="12" borderId="8" xfId="0" applyFont="1" applyFill="1" applyBorder="1" applyAlignment="1">
      <alignment horizontal="center"/>
    </xf>
    <xf numFmtId="0" fontId="1" fillId="12" borderId="11" xfId="0" applyFont="1" applyFill="1" applyBorder="1" applyAlignment="1">
      <alignment horizontal="center"/>
    </xf>
    <xf numFmtId="0" fontId="1" fillId="15" borderId="1" xfId="0" applyFont="1" applyFill="1" applyBorder="1" applyAlignment="1">
      <alignment horizontal="center" vertical="center"/>
    </xf>
    <xf numFmtId="14" fontId="1" fillId="15" borderId="2" xfId="0" applyNumberFormat="1" applyFont="1" applyFill="1" applyBorder="1" applyAlignment="1">
      <alignment horizontal="center" vertical="center"/>
    </xf>
    <xf numFmtId="0" fontId="3" fillId="15" borderId="3" xfId="0" applyFont="1" applyFill="1" applyBorder="1"/>
    <xf numFmtId="0" fontId="3" fillId="15" borderId="4" xfId="0" applyFont="1" applyFill="1" applyBorder="1"/>
    <xf numFmtId="0" fontId="1" fillId="15" borderId="1" xfId="0" applyFont="1" applyFill="1" applyBorder="1" applyAlignment="1">
      <alignment horizontal="center" vertical="center" wrapText="1"/>
    </xf>
    <xf numFmtId="0" fontId="1" fillId="15" borderId="1" xfId="0" applyFont="1" applyFill="1" applyBorder="1" applyAlignment="1">
      <alignment horizontal="center" wrapText="1"/>
    </xf>
    <xf numFmtId="0" fontId="3" fillId="15" borderId="6" xfId="0" applyFont="1" applyFill="1" applyBorder="1"/>
    <xf numFmtId="15" fontId="1" fillId="15" borderId="5" xfId="0" applyNumberFormat="1" applyFont="1" applyFill="1" applyBorder="1" applyAlignment="1">
      <alignment horizontal="center" vertical="center"/>
    </xf>
    <xf numFmtId="0" fontId="2" fillId="15" borderId="5" xfId="0" applyFont="1" applyFill="1" applyBorder="1" applyAlignment="1">
      <alignment horizontal="center" vertical="center"/>
    </xf>
    <xf numFmtId="0" fontId="1" fillId="12" borderId="2" xfId="0" applyFont="1" applyFill="1" applyBorder="1" applyAlignment="1">
      <alignment horizontal="center" vertical="center"/>
    </xf>
    <xf numFmtId="1" fontId="1" fillId="12" borderId="5" xfId="0" applyNumberFormat="1" applyFont="1" applyFill="1" applyBorder="1" applyAlignment="1">
      <alignment horizontal="center" vertical="center"/>
    </xf>
    <xf numFmtId="0" fontId="2" fillId="12" borderId="5" xfId="0" applyFont="1" applyFill="1" applyBorder="1" applyAlignment="1">
      <alignment horizontal="center" vertical="center"/>
    </xf>
    <xf numFmtId="9" fontId="1" fillId="12" borderId="5" xfId="0" applyNumberFormat="1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4" fontId="1" fillId="16" borderId="2" xfId="0" applyNumberFormat="1" applyFont="1" applyFill="1" applyBorder="1" applyAlignment="1">
      <alignment horizontal="center" vertical="center"/>
    </xf>
    <xf numFmtId="0" fontId="3" fillId="16" borderId="3" xfId="0" applyFont="1" applyFill="1" applyBorder="1"/>
    <xf numFmtId="0" fontId="3" fillId="16" borderId="4" xfId="0" applyFont="1" applyFill="1" applyBorder="1"/>
    <xf numFmtId="0" fontId="1" fillId="16" borderId="1" xfId="0" applyFont="1" applyFill="1" applyBorder="1" applyAlignment="1">
      <alignment horizontal="center" vertical="center" wrapText="1"/>
    </xf>
    <xf numFmtId="0" fontId="1" fillId="16" borderId="1" xfId="0" applyFont="1" applyFill="1" applyBorder="1" applyAlignment="1">
      <alignment horizontal="center" wrapText="1"/>
    </xf>
    <xf numFmtId="0" fontId="3" fillId="16" borderId="6" xfId="0" applyFont="1" applyFill="1" applyBorder="1"/>
    <xf numFmtId="15" fontId="1" fillId="16" borderId="5" xfId="0" applyNumberFormat="1" applyFont="1" applyFill="1" applyBorder="1" applyAlignment="1">
      <alignment horizontal="center" vertical="center"/>
    </xf>
    <xf numFmtId="0" fontId="2" fillId="16" borderId="5" xfId="0" applyFont="1" applyFill="1" applyBorder="1" applyAlignment="1">
      <alignment horizontal="center" vertical="center"/>
    </xf>
    <xf numFmtId="0" fontId="1" fillId="17" borderId="2" xfId="0" applyFont="1" applyFill="1" applyBorder="1" applyAlignment="1">
      <alignment horizontal="center" vertical="center"/>
    </xf>
    <xf numFmtId="0" fontId="3" fillId="17" borderId="3" xfId="0" applyFont="1" applyFill="1" applyBorder="1"/>
    <xf numFmtId="0" fontId="3" fillId="17" borderId="4" xfId="0" applyFont="1" applyFill="1" applyBorder="1"/>
    <xf numFmtId="1" fontId="1" fillId="17" borderId="5" xfId="0" applyNumberFormat="1" applyFont="1" applyFill="1" applyBorder="1" applyAlignment="1">
      <alignment horizontal="center" vertical="center"/>
    </xf>
    <xf numFmtId="0" fontId="2" fillId="17" borderId="5" xfId="0" applyFont="1" applyFill="1" applyBorder="1" applyAlignment="1">
      <alignment horizontal="center" vertical="center"/>
    </xf>
    <xf numFmtId="9" fontId="1" fillId="17" borderId="5" xfId="0" applyNumberFormat="1" applyFont="1" applyFill="1" applyBorder="1" applyAlignment="1">
      <alignment horizontal="center" vertical="center"/>
    </xf>
    <xf numFmtId="0" fontId="1" fillId="18" borderId="1" xfId="0" applyFont="1" applyFill="1" applyBorder="1" applyAlignment="1">
      <alignment horizontal="center" vertical="center"/>
    </xf>
    <xf numFmtId="14" fontId="1" fillId="18" borderId="2" xfId="0" applyNumberFormat="1" applyFont="1" applyFill="1" applyBorder="1" applyAlignment="1">
      <alignment horizontal="center" vertical="center"/>
    </xf>
    <xf numFmtId="0" fontId="3" fillId="18" borderId="3" xfId="0" applyFont="1" applyFill="1" applyBorder="1"/>
    <xf numFmtId="0" fontId="3" fillId="18" borderId="4" xfId="0" applyFont="1" applyFill="1" applyBorder="1"/>
    <xf numFmtId="0" fontId="1" fillId="18" borderId="1" xfId="0" applyFont="1" applyFill="1" applyBorder="1" applyAlignment="1">
      <alignment horizontal="center" vertical="center" wrapText="1"/>
    </xf>
    <xf numFmtId="0" fontId="1" fillId="18" borderId="1" xfId="0" applyFont="1" applyFill="1" applyBorder="1" applyAlignment="1">
      <alignment horizontal="center" wrapText="1"/>
    </xf>
    <xf numFmtId="0" fontId="3" fillId="18" borderId="6" xfId="0" applyFont="1" applyFill="1" applyBorder="1"/>
    <xf numFmtId="15" fontId="1" fillId="18" borderId="5" xfId="0" applyNumberFormat="1" applyFont="1" applyFill="1" applyBorder="1" applyAlignment="1">
      <alignment horizontal="center" vertical="center"/>
    </xf>
    <xf numFmtId="0" fontId="2" fillId="18" borderId="5" xfId="0" applyFont="1" applyFill="1" applyBorder="1" applyAlignment="1">
      <alignment horizontal="center" vertical="center"/>
    </xf>
    <xf numFmtId="0" fontId="1" fillId="18" borderId="2" xfId="0" applyFont="1" applyFill="1" applyBorder="1" applyAlignment="1">
      <alignment horizontal="center" vertical="center"/>
    </xf>
    <xf numFmtId="1" fontId="1" fillId="18" borderId="5" xfId="0" applyNumberFormat="1" applyFont="1" applyFill="1" applyBorder="1" applyAlignment="1">
      <alignment horizontal="center" vertical="center"/>
    </xf>
    <xf numFmtId="9" fontId="1" fillId="18" borderId="5" xfId="0" applyNumberFormat="1" applyFont="1" applyFill="1" applyBorder="1" applyAlignment="1">
      <alignment horizontal="center" vertical="center"/>
    </xf>
    <xf numFmtId="0" fontId="0" fillId="9" borderId="0" xfId="0" applyFill="1"/>
    <xf numFmtId="0" fontId="0" fillId="19" borderId="0" xfId="0" applyFill="1"/>
    <xf numFmtId="0" fontId="0" fillId="2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"/>
  <sheetViews>
    <sheetView topLeftCell="A34" workbookViewId="0">
      <selection activeCell="B46" sqref="B46:B48"/>
    </sheetView>
  </sheetViews>
  <sheetFormatPr defaultColWidth="14.453125" defaultRowHeight="15" customHeight="1"/>
  <cols>
    <col min="1" max="1" width="8.81640625" customWidth="1"/>
    <col min="2" max="2" width="42.453125" customWidth="1"/>
    <col min="3" max="3" width="24.453125" customWidth="1"/>
    <col min="4" max="12" width="20.7265625" customWidth="1"/>
    <col min="13" max="26" width="8.81640625" customWidth="1"/>
  </cols>
  <sheetData>
    <row r="1" spans="1:12" ht="15.75" customHeight="1">
      <c r="A1" s="67" t="s">
        <v>0</v>
      </c>
      <c r="B1" s="69" t="s">
        <v>1</v>
      </c>
      <c r="C1" s="66"/>
      <c r="D1" s="58" t="s">
        <v>4</v>
      </c>
      <c r="E1" s="56"/>
      <c r="F1" s="56"/>
      <c r="G1" s="56"/>
      <c r="H1" s="56"/>
      <c r="I1" s="57"/>
      <c r="J1" s="59" t="s">
        <v>2</v>
      </c>
      <c r="K1" s="59" t="s">
        <v>5</v>
      </c>
      <c r="L1" s="60" t="s">
        <v>6</v>
      </c>
    </row>
    <row r="2" spans="1:12" ht="15.75" customHeight="1">
      <c r="A2" s="68"/>
      <c r="B2" s="70"/>
      <c r="C2" s="61" t="s">
        <v>7</v>
      </c>
      <c r="D2" s="62"/>
      <c r="E2" s="62"/>
      <c r="F2" s="62"/>
      <c r="G2" s="62"/>
      <c r="H2" s="62"/>
      <c r="I2" s="62"/>
      <c r="J2" s="63"/>
      <c r="K2" s="63"/>
      <c r="L2" s="63"/>
    </row>
    <row r="3" spans="1:12" ht="15.75" customHeight="1">
      <c r="A3" s="1">
        <f>ROW()-ROW($A$1)</f>
        <v>2</v>
      </c>
      <c r="B3" s="4"/>
      <c r="C3" s="5" t="s">
        <v>8</v>
      </c>
      <c r="D3" s="7"/>
      <c r="E3" s="2"/>
      <c r="F3" s="2"/>
      <c r="G3" s="2"/>
      <c r="H3" s="2"/>
      <c r="I3" s="2"/>
      <c r="J3" s="6">
        <f t="shared" ref="J3:J5" si="0">COUNTA(D3:I3)</f>
        <v>0</v>
      </c>
      <c r="K3" s="3">
        <v>4</v>
      </c>
      <c r="L3" s="9">
        <f t="shared" ref="L3:L5" si="1">J3/K3</f>
        <v>0</v>
      </c>
    </row>
    <row r="4" spans="1:12" ht="15.75" customHeight="1">
      <c r="A4" s="1">
        <f>ROW()-ROW($A$1)</f>
        <v>3</v>
      </c>
      <c r="B4" s="4"/>
      <c r="C4" s="5" t="s">
        <v>8</v>
      </c>
      <c r="D4" s="7"/>
      <c r="E4" s="2"/>
      <c r="F4" s="2"/>
      <c r="G4" s="2"/>
      <c r="H4" s="2"/>
      <c r="I4" s="2"/>
      <c r="J4" s="6">
        <f t="shared" si="0"/>
        <v>0</v>
      </c>
      <c r="K4" s="3">
        <v>4</v>
      </c>
      <c r="L4" s="9">
        <f t="shared" si="1"/>
        <v>0</v>
      </c>
    </row>
    <row r="5" spans="1:12" ht="15.75" customHeight="1">
      <c r="A5" s="1">
        <f>ROW()-ROW($A$1)</f>
        <v>4</v>
      </c>
      <c r="B5" s="4"/>
      <c r="C5" s="5" t="s">
        <v>8</v>
      </c>
      <c r="D5" s="7"/>
      <c r="E5" s="2"/>
      <c r="F5" s="2"/>
      <c r="G5" s="2"/>
      <c r="H5" s="2"/>
      <c r="I5" s="2"/>
      <c r="J5" s="6">
        <f t="shared" si="0"/>
        <v>0</v>
      </c>
      <c r="K5" s="3">
        <v>4</v>
      </c>
      <c r="L5" s="9">
        <f t="shared" si="1"/>
        <v>0</v>
      </c>
    </row>
    <row r="6" spans="1:12" ht="15.75" customHeight="1">
      <c r="A6" s="35" t="s">
        <v>9</v>
      </c>
      <c r="B6" s="21"/>
      <c r="C6" s="21"/>
      <c r="D6" s="21"/>
      <c r="E6" s="21"/>
      <c r="F6" s="21"/>
      <c r="G6" s="21"/>
      <c r="H6" s="21"/>
      <c r="I6" s="22"/>
      <c r="J6" s="31">
        <f t="shared" ref="J6:K6" si="2">SUM(J3:J5)</f>
        <v>0</v>
      </c>
      <c r="K6" s="31">
        <f t="shared" si="2"/>
        <v>12</v>
      </c>
      <c r="L6" s="32">
        <f>AVERAGE(L3:L5)</f>
        <v>0</v>
      </c>
    </row>
    <row r="7" spans="1:12" ht="15.75" customHeight="1">
      <c r="A7" s="23"/>
      <c r="B7" s="24"/>
      <c r="C7" s="24"/>
      <c r="D7" s="24"/>
      <c r="E7" s="24"/>
      <c r="F7" s="24"/>
      <c r="G7" s="24"/>
      <c r="H7" s="24"/>
      <c r="I7" s="25"/>
      <c r="J7" s="27"/>
      <c r="K7" s="27"/>
      <c r="L7" s="27"/>
    </row>
    <row r="8" spans="1:12" ht="15.75" customHeight="1">
      <c r="A8" s="1">
        <f t="shared" ref="A8:A12" si="3">ROW()-ROW($A$7)</f>
        <v>1</v>
      </c>
      <c r="B8" s="16"/>
      <c r="C8" s="5" t="s">
        <v>10</v>
      </c>
      <c r="D8" s="7"/>
      <c r="E8" s="2"/>
      <c r="F8" s="2"/>
      <c r="G8" s="2"/>
      <c r="H8" s="2"/>
      <c r="I8" s="2"/>
      <c r="J8" s="6">
        <f t="shared" ref="J8:J12" si="4">COUNTA(D8:I8)</f>
        <v>0</v>
      </c>
      <c r="K8" s="3">
        <v>4</v>
      </c>
      <c r="L8" s="9">
        <f t="shared" ref="L8:L12" si="5">J8/K8</f>
        <v>0</v>
      </c>
    </row>
    <row r="9" spans="1:12" ht="15.75" customHeight="1">
      <c r="A9" s="1">
        <f t="shared" si="3"/>
        <v>2</v>
      </c>
      <c r="B9" s="10"/>
      <c r="C9" s="5" t="s">
        <v>10</v>
      </c>
      <c r="D9" s="2"/>
      <c r="E9" s="2"/>
      <c r="F9" s="2"/>
      <c r="G9" s="2"/>
      <c r="H9" s="2"/>
      <c r="I9" s="2"/>
      <c r="J9" s="6">
        <f t="shared" si="4"/>
        <v>0</v>
      </c>
      <c r="K9" s="3">
        <v>4</v>
      </c>
      <c r="L9" s="9">
        <f t="shared" si="5"/>
        <v>0</v>
      </c>
    </row>
    <row r="10" spans="1:12" ht="15.75" customHeight="1">
      <c r="A10" s="1">
        <f t="shared" si="3"/>
        <v>3</v>
      </c>
      <c r="B10" s="4"/>
      <c r="C10" s="5" t="s">
        <v>10</v>
      </c>
      <c r="D10" s="2"/>
      <c r="E10" s="2"/>
      <c r="F10" s="2"/>
      <c r="G10" s="2"/>
      <c r="H10" s="2"/>
      <c r="I10" s="2"/>
      <c r="J10" s="6">
        <f t="shared" si="4"/>
        <v>0</v>
      </c>
      <c r="K10" s="3">
        <v>4</v>
      </c>
      <c r="L10" s="9">
        <f t="shared" si="5"/>
        <v>0</v>
      </c>
    </row>
    <row r="11" spans="1:12" ht="15" customHeight="1">
      <c r="A11" s="1">
        <f t="shared" si="3"/>
        <v>4</v>
      </c>
      <c r="B11" s="10"/>
      <c r="C11" s="5" t="s">
        <v>10</v>
      </c>
      <c r="D11" s="2"/>
      <c r="E11" s="2"/>
      <c r="F11" s="2"/>
      <c r="G11" s="2"/>
      <c r="H11" s="2"/>
      <c r="I11" s="2"/>
      <c r="J11" s="6">
        <f t="shared" si="4"/>
        <v>0</v>
      </c>
      <c r="K11" s="3">
        <v>4</v>
      </c>
      <c r="L11" s="9">
        <f t="shared" si="5"/>
        <v>0</v>
      </c>
    </row>
    <row r="12" spans="1:12" ht="15.75" customHeight="1">
      <c r="A12" s="1">
        <f t="shared" si="3"/>
        <v>5</v>
      </c>
      <c r="B12" s="10"/>
      <c r="C12" s="5" t="s">
        <v>10</v>
      </c>
      <c r="D12" s="2"/>
      <c r="E12" s="2"/>
      <c r="F12" s="2"/>
      <c r="G12" s="2"/>
      <c r="H12" s="2"/>
      <c r="I12" s="2"/>
      <c r="J12" s="6">
        <f t="shared" si="4"/>
        <v>0</v>
      </c>
      <c r="K12" s="3">
        <v>4</v>
      </c>
      <c r="L12" s="9">
        <f t="shared" si="5"/>
        <v>0</v>
      </c>
    </row>
    <row r="13" spans="1:12" ht="15.75" customHeight="1">
      <c r="A13" s="20" t="s">
        <v>13</v>
      </c>
      <c r="B13" s="21"/>
      <c r="C13" s="21"/>
      <c r="D13" s="21"/>
      <c r="E13" s="21"/>
      <c r="F13" s="21"/>
      <c r="G13" s="21"/>
      <c r="H13" s="21"/>
      <c r="I13" s="22"/>
      <c r="J13" s="26">
        <f t="shared" ref="J13:K13" si="6">SUM(J8:J12)</f>
        <v>0</v>
      </c>
      <c r="K13" s="26">
        <f t="shared" si="6"/>
        <v>20</v>
      </c>
      <c r="L13" s="28">
        <f>AVERAGE(L8:L12)</f>
        <v>0</v>
      </c>
    </row>
    <row r="14" spans="1:12" ht="15.75" customHeight="1">
      <c r="A14" s="23"/>
      <c r="B14" s="24"/>
      <c r="C14" s="24"/>
      <c r="D14" s="24"/>
      <c r="E14" s="24"/>
      <c r="F14" s="24"/>
      <c r="G14" s="24"/>
      <c r="H14" s="24"/>
      <c r="I14" s="25"/>
      <c r="J14" s="27"/>
      <c r="K14" s="27"/>
      <c r="L14" s="27"/>
    </row>
    <row r="15" spans="1:12" ht="15.75" customHeight="1">
      <c r="A15" s="1">
        <f t="shared" ref="A15:A27" si="7">ROW()-ROW($A$14)</f>
        <v>1</v>
      </c>
      <c r="B15" s="12"/>
      <c r="C15" s="1" t="s">
        <v>12</v>
      </c>
      <c r="D15" s="3"/>
      <c r="E15" s="3"/>
      <c r="F15" s="3"/>
      <c r="G15" s="3"/>
      <c r="H15" s="3"/>
      <c r="I15" s="13"/>
      <c r="J15" s="6">
        <f t="shared" ref="J15:J27" si="8">COUNTA(D15:I15)</f>
        <v>0</v>
      </c>
      <c r="K15" s="3">
        <v>4</v>
      </c>
      <c r="L15" s="9">
        <f t="shared" ref="L15:L27" si="9">J15/K15</f>
        <v>0</v>
      </c>
    </row>
    <row r="16" spans="1:12" ht="15.75" customHeight="1">
      <c r="A16" s="1">
        <f t="shared" si="7"/>
        <v>2</v>
      </c>
      <c r="B16" s="12"/>
      <c r="C16" s="1" t="s">
        <v>12</v>
      </c>
      <c r="D16" s="3"/>
      <c r="E16" s="3"/>
      <c r="F16" s="3"/>
      <c r="G16" s="3"/>
      <c r="H16" s="3"/>
      <c r="I16" s="13"/>
      <c r="J16" s="6">
        <f t="shared" si="8"/>
        <v>0</v>
      </c>
      <c r="K16" s="3">
        <v>4</v>
      </c>
      <c r="L16" s="9">
        <f t="shared" si="9"/>
        <v>0</v>
      </c>
    </row>
    <row r="17" spans="1:12" ht="15.75" customHeight="1">
      <c r="A17" s="1">
        <f t="shared" si="7"/>
        <v>3</v>
      </c>
      <c r="B17" s="12"/>
      <c r="C17" s="1" t="s">
        <v>12</v>
      </c>
      <c r="D17" s="3"/>
      <c r="E17" s="3"/>
      <c r="F17" s="3"/>
      <c r="G17" s="3"/>
      <c r="H17" s="3"/>
      <c r="I17" s="13"/>
      <c r="J17" s="6">
        <f t="shared" si="8"/>
        <v>0</v>
      </c>
      <c r="K17" s="3">
        <v>4</v>
      </c>
      <c r="L17" s="9">
        <f t="shared" si="9"/>
        <v>0</v>
      </c>
    </row>
    <row r="18" spans="1:12" ht="15.75" customHeight="1">
      <c r="A18" s="1">
        <f t="shared" si="7"/>
        <v>4</v>
      </c>
      <c r="B18" s="12"/>
      <c r="C18" s="1" t="s">
        <v>12</v>
      </c>
      <c r="D18" s="3"/>
      <c r="E18" s="3"/>
      <c r="F18" s="3"/>
      <c r="G18" s="3"/>
      <c r="H18" s="3"/>
      <c r="I18" s="13"/>
      <c r="J18" s="6">
        <f t="shared" si="8"/>
        <v>0</v>
      </c>
      <c r="K18" s="3">
        <v>4</v>
      </c>
      <c r="L18" s="9">
        <f t="shared" si="9"/>
        <v>0</v>
      </c>
    </row>
    <row r="19" spans="1:12" ht="15.75" customHeight="1">
      <c r="A19" s="1">
        <f t="shared" si="7"/>
        <v>5</v>
      </c>
      <c r="B19" s="12"/>
      <c r="C19" s="1" t="s">
        <v>12</v>
      </c>
      <c r="D19" s="3"/>
      <c r="E19" s="3"/>
      <c r="F19" s="3"/>
      <c r="G19" s="3"/>
      <c r="H19" s="3"/>
      <c r="I19" s="13"/>
      <c r="J19" s="6">
        <f t="shared" si="8"/>
        <v>0</v>
      </c>
      <c r="K19" s="3">
        <v>4</v>
      </c>
      <c r="L19" s="9">
        <f t="shared" si="9"/>
        <v>0</v>
      </c>
    </row>
    <row r="20" spans="1:12" ht="15" customHeight="1">
      <c r="A20" s="1">
        <f t="shared" si="7"/>
        <v>6</v>
      </c>
      <c r="B20" s="12"/>
      <c r="C20" s="1" t="s">
        <v>12</v>
      </c>
      <c r="D20" s="3"/>
      <c r="E20" s="3"/>
      <c r="F20" s="3"/>
      <c r="G20" s="3"/>
      <c r="H20" s="3"/>
      <c r="I20" s="13"/>
      <c r="J20" s="6">
        <f t="shared" si="8"/>
        <v>0</v>
      </c>
      <c r="K20" s="3">
        <v>4</v>
      </c>
      <c r="L20" s="9">
        <f t="shared" si="9"/>
        <v>0</v>
      </c>
    </row>
    <row r="21" spans="1:12" ht="15.75" customHeight="1">
      <c r="A21" s="1">
        <f t="shared" si="7"/>
        <v>7</v>
      </c>
      <c r="B21" s="12"/>
      <c r="C21" s="1" t="s">
        <v>12</v>
      </c>
      <c r="D21" s="3"/>
      <c r="E21" s="3"/>
      <c r="F21" s="3"/>
      <c r="G21" s="3"/>
      <c r="H21" s="3"/>
      <c r="I21" s="13"/>
      <c r="J21" s="6">
        <f t="shared" si="8"/>
        <v>0</v>
      </c>
      <c r="K21" s="3">
        <v>4</v>
      </c>
      <c r="L21" s="9">
        <f t="shared" si="9"/>
        <v>0</v>
      </c>
    </row>
    <row r="22" spans="1:12" ht="15.75" customHeight="1">
      <c r="A22" s="1">
        <f t="shared" si="7"/>
        <v>8</v>
      </c>
      <c r="B22" s="12"/>
      <c r="C22" s="1" t="s">
        <v>12</v>
      </c>
      <c r="D22" s="3"/>
      <c r="E22" s="3"/>
      <c r="F22" s="3"/>
      <c r="G22" s="3"/>
      <c r="H22" s="3"/>
      <c r="I22" s="13"/>
      <c r="J22" s="6">
        <f t="shared" si="8"/>
        <v>0</v>
      </c>
      <c r="K22" s="3">
        <v>4</v>
      </c>
      <c r="L22" s="9">
        <f t="shared" si="9"/>
        <v>0</v>
      </c>
    </row>
    <row r="23" spans="1:12" ht="15.75" customHeight="1">
      <c r="A23" s="1">
        <f t="shared" si="7"/>
        <v>9</v>
      </c>
      <c r="B23" s="12"/>
      <c r="C23" s="1" t="s">
        <v>12</v>
      </c>
      <c r="D23" s="3"/>
      <c r="E23" s="3"/>
      <c r="F23" s="3"/>
      <c r="G23" s="3"/>
      <c r="H23" s="3"/>
      <c r="I23" s="13"/>
      <c r="J23" s="6">
        <f t="shared" si="8"/>
        <v>0</v>
      </c>
      <c r="K23" s="3">
        <v>4</v>
      </c>
      <c r="L23" s="9">
        <f t="shared" si="9"/>
        <v>0</v>
      </c>
    </row>
    <row r="24" spans="1:12" ht="15.75" customHeight="1">
      <c r="A24" s="1">
        <f t="shared" si="7"/>
        <v>10</v>
      </c>
      <c r="B24" s="12"/>
      <c r="C24" s="1" t="s">
        <v>12</v>
      </c>
      <c r="D24" s="3"/>
      <c r="E24" s="3"/>
      <c r="F24" s="3"/>
      <c r="G24" s="3"/>
      <c r="H24" s="3"/>
      <c r="I24" s="13"/>
      <c r="J24" s="6">
        <f t="shared" si="8"/>
        <v>0</v>
      </c>
      <c r="K24" s="3">
        <v>4</v>
      </c>
      <c r="L24" s="9">
        <f t="shared" si="9"/>
        <v>0</v>
      </c>
    </row>
    <row r="25" spans="1:12" ht="15.75" customHeight="1">
      <c r="A25" s="1">
        <f t="shared" si="7"/>
        <v>11</v>
      </c>
      <c r="B25" s="12"/>
      <c r="C25" s="1" t="s">
        <v>12</v>
      </c>
      <c r="D25" s="3"/>
      <c r="E25" s="3"/>
      <c r="F25" s="3"/>
      <c r="G25" s="3"/>
      <c r="H25" s="3"/>
      <c r="I25" s="13"/>
      <c r="J25" s="6">
        <f t="shared" si="8"/>
        <v>0</v>
      </c>
      <c r="K25" s="3">
        <v>4</v>
      </c>
      <c r="L25" s="9">
        <f t="shared" si="9"/>
        <v>0</v>
      </c>
    </row>
    <row r="26" spans="1:12" ht="15.75" customHeight="1">
      <c r="A26" s="1">
        <f t="shared" si="7"/>
        <v>12</v>
      </c>
      <c r="B26" s="12"/>
      <c r="C26" s="1" t="s">
        <v>12</v>
      </c>
      <c r="D26" s="3"/>
      <c r="E26" s="3"/>
      <c r="F26" s="3"/>
      <c r="G26" s="3"/>
      <c r="H26" s="3"/>
      <c r="I26" s="13"/>
      <c r="J26" s="6">
        <f t="shared" si="8"/>
        <v>0</v>
      </c>
      <c r="K26" s="3">
        <v>4</v>
      </c>
      <c r="L26" s="9">
        <f t="shared" si="9"/>
        <v>0</v>
      </c>
    </row>
    <row r="27" spans="1:12" ht="15.75" customHeight="1">
      <c r="A27" s="1">
        <f t="shared" si="7"/>
        <v>13</v>
      </c>
      <c r="B27" s="12"/>
      <c r="C27" s="1" t="s">
        <v>12</v>
      </c>
      <c r="D27" s="3"/>
      <c r="E27" s="3"/>
      <c r="F27" s="3"/>
      <c r="G27" s="3"/>
      <c r="H27" s="3"/>
      <c r="I27" s="13"/>
      <c r="J27" s="6">
        <f t="shared" si="8"/>
        <v>0</v>
      </c>
      <c r="K27" s="3">
        <v>4</v>
      </c>
      <c r="L27" s="9">
        <f t="shared" si="9"/>
        <v>0</v>
      </c>
    </row>
    <row r="28" spans="1:12" ht="15.75" customHeight="1">
      <c r="A28" s="20" t="s">
        <v>13</v>
      </c>
      <c r="B28" s="21"/>
      <c r="C28" s="21"/>
      <c r="D28" s="21"/>
      <c r="E28" s="21"/>
      <c r="F28" s="21"/>
      <c r="G28" s="21"/>
      <c r="H28" s="21"/>
      <c r="I28" s="22"/>
      <c r="J28" s="29">
        <f t="shared" ref="J28:K28" si="10">SUM(J15:J27)</f>
        <v>0</v>
      </c>
      <c r="K28" s="29">
        <f t="shared" si="10"/>
        <v>52</v>
      </c>
      <c r="L28" s="28">
        <f>AVERAGE(L15:L27)</f>
        <v>0</v>
      </c>
    </row>
    <row r="29" spans="1:12" ht="15.75" customHeight="1">
      <c r="A29" s="23"/>
      <c r="B29" s="24"/>
      <c r="C29" s="24"/>
      <c r="D29" s="24"/>
      <c r="E29" s="24"/>
      <c r="F29" s="24"/>
      <c r="G29" s="24"/>
      <c r="H29" s="24"/>
      <c r="I29" s="25"/>
      <c r="J29" s="27"/>
      <c r="K29" s="27"/>
      <c r="L29" s="27"/>
    </row>
    <row r="30" spans="1:12" ht="15.75" customHeight="1">
      <c r="A30" s="5">
        <f t="shared" ref="A30:A40" si="11">ROW()-ROW($A$29)</f>
        <v>1</v>
      </c>
      <c r="B30" s="10"/>
      <c r="C30" s="5" t="s">
        <v>14</v>
      </c>
      <c r="D30" s="38"/>
      <c r="E30" s="38"/>
      <c r="F30" s="38"/>
      <c r="G30" s="38"/>
      <c r="H30" s="5"/>
      <c r="I30" s="5"/>
      <c r="J30" s="6">
        <f t="shared" ref="J30:J40" si="12">COUNTA(D30:I30)</f>
        <v>0</v>
      </c>
      <c r="K30" s="3">
        <v>4</v>
      </c>
      <c r="L30" s="9">
        <f t="shared" ref="L30:L40" si="13">J30/K30</f>
        <v>0</v>
      </c>
    </row>
    <row r="31" spans="1:12" ht="15.75" customHeight="1">
      <c r="A31" s="5">
        <f t="shared" si="11"/>
        <v>2</v>
      </c>
      <c r="B31" s="12"/>
      <c r="C31" s="5" t="s">
        <v>14</v>
      </c>
      <c r="D31" s="38"/>
      <c r="E31" s="38"/>
      <c r="F31" s="38"/>
      <c r="G31" s="38"/>
      <c r="H31" s="5"/>
      <c r="I31" s="5"/>
      <c r="J31" s="6">
        <f t="shared" si="12"/>
        <v>0</v>
      </c>
      <c r="K31" s="3">
        <v>4</v>
      </c>
      <c r="L31" s="9">
        <f t="shared" si="13"/>
        <v>0</v>
      </c>
    </row>
    <row r="32" spans="1:12" ht="15.75" customHeight="1">
      <c r="A32" s="5">
        <f t="shared" si="11"/>
        <v>3</v>
      </c>
      <c r="B32" s="14"/>
      <c r="C32" s="5" t="s">
        <v>14</v>
      </c>
      <c r="D32" s="38"/>
      <c r="E32" s="38"/>
      <c r="F32" s="38"/>
      <c r="G32" s="38"/>
      <c r="H32" s="5"/>
      <c r="I32" s="5"/>
      <c r="J32" s="6">
        <f t="shared" si="12"/>
        <v>0</v>
      </c>
      <c r="K32" s="3">
        <v>4</v>
      </c>
      <c r="L32" s="9">
        <f t="shared" si="13"/>
        <v>0</v>
      </c>
    </row>
    <row r="33" spans="1:12" ht="15.75" customHeight="1">
      <c r="A33" s="5">
        <f t="shared" si="11"/>
        <v>4</v>
      </c>
      <c r="B33" s="14"/>
      <c r="C33" s="5" t="s">
        <v>14</v>
      </c>
      <c r="D33" s="38"/>
      <c r="E33" s="39"/>
      <c r="F33" s="38"/>
      <c r="G33" s="39"/>
      <c r="H33" s="5"/>
      <c r="I33" s="5"/>
      <c r="J33" s="6">
        <f t="shared" si="12"/>
        <v>0</v>
      </c>
      <c r="K33" s="3">
        <v>4</v>
      </c>
      <c r="L33" s="9">
        <f t="shared" si="13"/>
        <v>0</v>
      </c>
    </row>
    <row r="34" spans="1:12" ht="15.75" customHeight="1">
      <c r="A34" s="5">
        <f t="shared" si="11"/>
        <v>5</v>
      </c>
      <c r="B34" s="14"/>
      <c r="C34" s="5" t="s">
        <v>14</v>
      </c>
      <c r="D34" s="38"/>
      <c r="E34" s="38"/>
      <c r="F34" s="38"/>
      <c r="G34" s="38"/>
      <c r="H34" s="5"/>
      <c r="I34" s="5"/>
      <c r="J34" s="6">
        <f t="shared" si="12"/>
        <v>0</v>
      </c>
      <c r="K34" s="3">
        <v>4</v>
      </c>
      <c r="L34" s="9">
        <f t="shared" si="13"/>
        <v>0</v>
      </c>
    </row>
    <row r="35" spans="1:12" ht="15.75" customHeight="1">
      <c r="A35" s="5">
        <f t="shared" si="11"/>
        <v>6</v>
      </c>
      <c r="B35" s="12"/>
      <c r="C35" s="5" t="s">
        <v>14</v>
      </c>
      <c r="D35" s="38"/>
      <c r="E35" s="38"/>
      <c r="F35" s="38"/>
      <c r="G35" s="38"/>
      <c r="H35" s="5"/>
      <c r="I35" s="5"/>
      <c r="J35" s="6">
        <f t="shared" si="12"/>
        <v>0</v>
      </c>
      <c r="K35" s="3">
        <v>4</v>
      </c>
      <c r="L35" s="9">
        <f t="shared" si="13"/>
        <v>0</v>
      </c>
    </row>
    <row r="36" spans="1:12" ht="15.75" customHeight="1">
      <c r="A36" s="5">
        <f t="shared" si="11"/>
        <v>7</v>
      </c>
      <c r="B36" s="12"/>
      <c r="C36" s="5" t="s">
        <v>14</v>
      </c>
      <c r="D36" s="39"/>
      <c r="E36" s="38"/>
      <c r="F36" s="39"/>
      <c r="G36" s="39"/>
      <c r="H36" s="5"/>
      <c r="I36" s="5"/>
      <c r="J36" s="6">
        <f t="shared" si="12"/>
        <v>0</v>
      </c>
      <c r="K36" s="3">
        <v>4</v>
      </c>
      <c r="L36" s="9">
        <f t="shared" si="13"/>
        <v>0</v>
      </c>
    </row>
    <row r="37" spans="1:12" ht="15.75" customHeight="1">
      <c r="A37" s="5">
        <f t="shared" si="11"/>
        <v>8</v>
      </c>
      <c r="B37" s="12"/>
      <c r="C37" s="5" t="s">
        <v>14</v>
      </c>
      <c r="D37" s="39"/>
      <c r="E37" s="39"/>
      <c r="F37" s="38"/>
      <c r="G37" s="39"/>
      <c r="H37" s="5"/>
      <c r="I37" s="5"/>
      <c r="J37" s="6">
        <f t="shared" si="12"/>
        <v>0</v>
      </c>
      <c r="K37" s="3">
        <v>4</v>
      </c>
      <c r="L37" s="9">
        <f t="shared" si="13"/>
        <v>0</v>
      </c>
    </row>
    <row r="38" spans="1:12" ht="15.75" customHeight="1">
      <c r="A38" s="5">
        <f t="shared" si="11"/>
        <v>9</v>
      </c>
      <c r="B38" s="12"/>
      <c r="C38" s="5" t="s">
        <v>14</v>
      </c>
      <c r="D38" s="38"/>
      <c r="E38" s="38"/>
      <c r="F38" s="39"/>
      <c r="G38" s="38"/>
      <c r="H38" s="5"/>
      <c r="I38" s="5"/>
      <c r="J38" s="6">
        <f t="shared" si="12"/>
        <v>0</v>
      </c>
      <c r="K38" s="3">
        <v>4</v>
      </c>
      <c r="L38" s="9">
        <f t="shared" si="13"/>
        <v>0</v>
      </c>
    </row>
    <row r="39" spans="1:12" ht="15" customHeight="1">
      <c r="A39" s="5">
        <f t="shared" si="11"/>
        <v>10</v>
      </c>
      <c r="B39" s="14"/>
      <c r="C39" s="5" t="s">
        <v>14</v>
      </c>
      <c r="D39" s="38"/>
      <c r="E39" s="38"/>
      <c r="F39" s="38"/>
      <c r="G39" s="39"/>
      <c r="H39" s="5"/>
      <c r="I39" s="5"/>
      <c r="J39" s="6">
        <f t="shared" si="12"/>
        <v>0</v>
      </c>
      <c r="K39" s="3">
        <v>4</v>
      </c>
      <c r="L39" s="9">
        <f t="shared" si="13"/>
        <v>0</v>
      </c>
    </row>
    <row r="40" spans="1:12" ht="15" customHeight="1">
      <c r="A40" s="5">
        <f t="shared" si="11"/>
        <v>11</v>
      </c>
      <c r="B40" s="14"/>
      <c r="C40" s="5" t="s">
        <v>14</v>
      </c>
      <c r="D40" s="39"/>
      <c r="E40" s="38"/>
      <c r="F40" s="38"/>
      <c r="G40" s="39"/>
      <c r="H40" s="5"/>
      <c r="I40" s="5"/>
      <c r="J40" s="6">
        <f t="shared" si="12"/>
        <v>0</v>
      </c>
      <c r="K40" s="3">
        <v>4</v>
      </c>
      <c r="L40" s="9">
        <f t="shared" si="13"/>
        <v>0</v>
      </c>
    </row>
    <row r="41" spans="1:12" ht="15.75" customHeight="1">
      <c r="A41" s="30" t="s">
        <v>13</v>
      </c>
      <c r="B41" s="21"/>
      <c r="C41" s="21"/>
      <c r="D41" s="21"/>
      <c r="E41" s="21"/>
      <c r="F41" s="21"/>
      <c r="G41" s="21"/>
      <c r="H41" s="21"/>
      <c r="I41" s="22"/>
      <c r="J41" s="64">
        <f t="shared" ref="J41:K41" si="14">SUM(J30:J40)</f>
        <v>0</v>
      </c>
      <c r="K41" s="64">
        <f t="shared" si="14"/>
        <v>44</v>
      </c>
      <c r="L41" s="28">
        <f>AVERAGE(L30:L40)</f>
        <v>0</v>
      </c>
    </row>
    <row r="42" spans="1:12" ht="15.75" customHeight="1">
      <c r="A42" s="24"/>
      <c r="B42" s="24"/>
      <c r="C42" s="24"/>
      <c r="D42" s="24"/>
      <c r="E42" s="24"/>
      <c r="F42" s="24"/>
      <c r="G42" s="24"/>
      <c r="H42" s="24"/>
      <c r="I42" s="25"/>
      <c r="J42" s="65"/>
      <c r="K42" s="65"/>
      <c r="L42" s="27"/>
    </row>
    <row r="43" spans="1:12" ht="15.75" customHeight="1">
      <c r="A43" s="17" t="s">
        <v>15</v>
      </c>
      <c r="B43" s="18"/>
      <c r="C43" s="18"/>
      <c r="D43" s="18"/>
      <c r="E43" s="18"/>
      <c r="F43" s="18"/>
      <c r="G43" s="18"/>
      <c r="H43" s="18"/>
      <c r="I43" s="19"/>
      <c r="J43" s="15">
        <f t="shared" ref="J43:K43" si="15">SUM(J6+J13+J28+J41)</f>
        <v>0</v>
      </c>
      <c r="K43" s="15">
        <f t="shared" si="15"/>
        <v>128</v>
      </c>
      <c r="L43" s="9">
        <f>AVERAGE(L6,L13,L28,L41)</f>
        <v>0</v>
      </c>
    </row>
    <row r="44" spans="1:12" ht="15.75" customHeight="1"/>
    <row r="45" spans="1:12" ht="15.75" customHeight="1"/>
    <row r="46" spans="1:12" ht="15.75" customHeight="1">
      <c r="B46" s="111" t="s">
        <v>20</v>
      </c>
    </row>
    <row r="47" spans="1:12" ht="15.75" customHeight="1">
      <c r="B47" s="112" t="s">
        <v>18</v>
      </c>
    </row>
    <row r="48" spans="1:12" ht="15" customHeight="1">
      <c r="B48" s="113" t="s">
        <v>19</v>
      </c>
    </row>
    <row r="49" ht="15.75" customHeight="1"/>
    <row r="51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K6:K7"/>
    <mergeCell ref="L6:L7"/>
    <mergeCell ref="D1:I1"/>
    <mergeCell ref="J1:J2"/>
    <mergeCell ref="K1:K2"/>
    <mergeCell ref="L1:L2"/>
    <mergeCell ref="A6:I7"/>
    <mergeCell ref="J6:J7"/>
    <mergeCell ref="A1:A2"/>
    <mergeCell ref="B1:B2"/>
    <mergeCell ref="A43:I43"/>
    <mergeCell ref="A13:I14"/>
    <mergeCell ref="J13:J14"/>
    <mergeCell ref="K13:K14"/>
    <mergeCell ref="L13:L14"/>
    <mergeCell ref="J28:J29"/>
    <mergeCell ref="K28:K29"/>
    <mergeCell ref="L28:L29"/>
    <mergeCell ref="A28:I29"/>
    <mergeCell ref="A41:I42"/>
    <mergeCell ref="J41:J42"/>
    <mergeCell ref="K41:K42"/>
    <mergeCell ref="L41:L42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0"/>
  <sheetViews>
    <sheetView workbookViewId="0">
      <selection activeCell="B12" sqref="B12:B14"/>
    </sheetView>
  </sheetViews>
  <sheetFormatPr defaultColWidth="14.453125" defaultRowHeight="15" customHeight="1"/>
  <cols>
    <col min="1" max="1" width="8.81640625" customWidth="1"/>
    <col min="2" max="2" width="35.7265625" customWidth="1"/>
    <col min="3" max="10" width="21.26953125" customWidth="1"/>
    <col min="11" max="13" width="11.453125" customWidth="1"/>
    <col min="14" max="26" width="8.81640625" customWidth="1"/>
  </cols>
  <sheetData>
    <row r="1" spans="1:13" ht="15.75" customHeight="1">
      <c r="A1" s="43" t="s">
        <v>0</v>
      </c>
      <c r="B1" s="43" t="s">
        <v>1</v>
      </c>
      <c r="C1" s="45" t="s">
        <v>17</v>
      </c>
      <c r="D1" s="46"/>
      <c r="E1" s="46"/>
      <c r="F1" s="46"/>
      <c r="G1" s="46"/>
      <c r="H1" s="46"/>
      <c r="I1" s="46"/>
      <c r="J1" s="47"/>
      <c r="K1" s="48" t="s">
        <v>3</v>
      </c>
      <c r="L1" s="49" t="s">
        <v>5</v>
      </c>
      <c r="M1" s="43" t="s">
        <v>6</v>
      </c>
    </row>
    <row r="2" spans="1:13" ht="15.5">
      <c r="A2" s="44"/>
      <c r="B2" s="44"/>
      <c r="C2" s="50"/>
      <c r="D2" s="50"/>
      <c r="E2" s="50"/>
      <c r="F2" s="50"/>
      <c r="G2" s="50"/>
      <c r="H2" s="50"/>
      <c r="I2" s="51"/>
      <c r="J2" s="51"/>
      <c r="K2" s="44"/>
      <c r="L2" s="44"/>
      <c r="M2" s="44"/>
    </row>
    <row r="3" spans="1:13" ht="15.5">
      <c r="A3" s="1">
        <f>ROW()-ROW('Absensi APR - GPN B '!$A$1)</f>
        <v>2</v>
      </c>
      <c r="B3" s="16"/>
      <c r="C3" s="40"/>
      <c r="D3" s="40"/>
      <c r="E3" s="40"/>
      <c r="F3" s="2"/>
      <c r="G3" s="2"/>
      <c r="H3" s="2"/>
      <c r="I3" s="3"/>
      <c r="J3" s="3"/>
      <c r="K3" s="8">
        <f t="shared" ref="K3:K7" si="0">COUNTA(C3:J3)</f>
        <v>0</v>
      </c>
      <c r="L3" s="1">
        <v>4</v>
      </c>
      <c r="M3" s="9">
        <f t="shared" ref="M3:M7" si="1">K3/L3</f>
        <v>0</v>
      </c>
    </row>
    <row r="4" spans="1:13" ht="15.5">
      <c r="A4" s="1">
        <f>ROW()-ROW('Absensi APR - GPN B '!$A$1)</f>
        <v>3</v>
      </c>
      <c r="B4" s="41"/>
      <c r="C4" s="39"/>
      <c r="D4" s="39"/>
      <c r="E4" s="40"/>
      <c r="F4" s="2"/>
      <c r="G4" s="2"/>
      <c r="H4" s="2"/>
      <c r="I4" s="3"/>
      <c r="J4" s="3"/>
      <c r="K4" s="8">
        <f t="shared" si="0"/>
        <v>0</v>
      </c>
      <c r="L4" s="1">
        <v>4</v>
      </c>
      <c r="M4" s="9">
        <f t="shared" si="1"/>
        <v>0</v>
      </c>
    </row>
    <row r="5" spans="1:13" ht="15.5">
      <c r="A5" s="1">
        <f>ROW()-ROW('Absensi APR - GPN B '!$A$1)</f>
        <v>4</v>
      </c>
      <c r="B5" s="42"/>
      <c r="C5" s="38"/>
      <c r="D5" s="39"/>
      <c r="E5" s="39"/>
      <c r="F5" s="2"/>
      <c r="G5" s="2"/>
      <c r="H5" s="2"/>
      <c r="I5" s="3"/>
      <c r="J5" s="3"/>
      <c r="K5" s="8">
        <f t="shared" si="0"/>
        <v>0</v>
      </c>
      <c r="L5" s="1">
        <v>4</v>
      </c>
      <c r="M5" s="9">
        <f t="shared" si="1"/>
        <v>0</v>
      </c>
    </row>
    <row r="6" spans="1:13" ht="15.5">
      <c r="A6" s="1">
        <f>ROW()-ROW('Absensi APR - GPN B '!$A$1)</f>
        <v>5</v>
      </c>
      <c r="B6" s="41"/>
      <c r="C6" s="38"/>
      <c r="D6" s="40"/>
      <c r="E6" s="40"/>
      <c r="F6" s="2"/>
      <c r="G6" s="2"/>
      <c r="H6" s="2"/>
      <c r="I6" s="3"/>
      <c r="J6" s="3"/>
      <c r="K6" s="8">
        <f t="shared" si="0"/>
        <v>0</v>
      </c>
      <c r="L6" s="1">
        <v>4</v>
      </c>
      <c r="M6" s="9">
        <f t="shared" si="1"/>
        <v>0</v>
      </c>
    </row>
    <row r="7" spans="1:13" ht="15.5">
      <c r="A7" s="11">
        <f>ROW()-ROW('Absensi APR - GPN B '!$A$1)</f>
        <v>6</v>
      </c>
      <c r="B7" s="10"/>
      <c r="C7" s="5"/>
      <c r="D7" s="2"/>
      <c r="E7" s="2"/>
      <c r="F7" s="2"/>
      <c r="G7" s="2"/>
      <c r="H7" s="3"/>
      <c r="I7" s="3"/>
      <c r="J7" s="3"/>
      <c r="K7" s="8">
        <f t="shared" si="0"/>
        <v>0</v>
      </c>
      <c r="L7" s="1">
        <v>4</v>
      </c>
      <c r="M7" s="9">
        <f t="shared" si="1"/>
        <v>0</v>
      </c>
    </row>
    <row r="8" spans="1:13" ht="15.5">
      <c r="A8" s="52" t="s">
        <v>11</v>
      </c>
      <c r="B8" s="53"/>
      <c r="C8" s="53"/>
      <c r="D8" s="53"/>
      <c r="E8" s="53"/>
      <c r="F8" s="53"/>
      <c r="G8" s="53"/>
      <c r="H8" s="53"/>
      <c r="I8" s="53"/>
      <c r="J8" s="54"/>
      <c r="K8" s="8">
        <f t="shared" ref="K8:L8" si="2">SUM(K3:K7)</f>
        <v>0</v>
      </c>
      <c r="L8" s="3">
        <f t="shared" si="2"/>
        <v>20</v>
      </c>
      <c r="M8" s="9">
        <f>AVERAGE(M4:M7)</f>
        <v>0</v>
      </c>
    </row>
    <row r="12" spans="1:13" ht="14.5">
      <c r="A12" s="55"/>
      <c r="B12" s="111" t="s">
        <v>20</v>
      </c>
    </row>
    <row r="13" spans="1:13" ht="14.5">
      <c r="B13" s="112" t="s">
        <v>18</v>
      </c>
    </row>
    <row r="14" spans="1:13" ht="15" customHeight="1">
      <c r="B14" s="113" t="s">
        <v>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M1:M2"/>
    <mergeCell ref="A8:J8"/>
    <mergeCell ref="A1:A2"/>
    <mergeCell ref="B1:B2"/>
    <mergeCell ref="C1:J1"/>
    <mergeCell ref="K1:K2"/>
    <mergeCell ref="L1:L2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B2E5C-0356-4860-BE02-54F9DA9A0A96}">
  <dimension ref="A1:M14"/>
  <sheetViews>
    <sheetView workbookViewId="0">
      <selection activeCell="B12" sqref="B12:B14"/>
    </sheetView>
  </sheetViews>
  <sheetFormatPr defaultRowHeight="14.5"/>
  <cols>
    <col min="2" max="2" width="24.90625" bestFit="1" customWidth="1"/>
    <col min="4" max="6" width="9.453125" bestFit="1" customWidth="1"/>
    <col min="11" max="11" width="15.6328125" bestFit="1" customWidth="1"/>
    <col min="12" max="12" width="17.81640625" bestFit="1" customWidth="1"/>
    <col min="13" max="13" width="10.54296875" bestFit="1" customWidth="1"/>
  </cols>
  <sheetData>
    <row r="1" spans="1:13" ht="15.5">
      <c r="A1" s="34" t="s">
        <v>0</v>
      </c>
      <c r="B1" s="34" t="s">
        <v>1</v>
      </c>
      <c r="C1" s="36" t="s">
        <v>16</v>
      </c>
      <c r="D1" s="18"/>
      <c r="E1" s="18"/>
      <c r="F1" s="18"/>
      <c r="G1" s="18"/>
      <c r="H1" s="18"/>
      <c r="I1" s="18"/>
      <c r="J1" s="19"/>
      <c r="K1" s="33" t="s">
        <v>3</v>
      </c>
      <c r="L1" s="33" t="s">
        <v>5</v>
      </c>
      <c r="M1" s="34" t="s">
        <v>6</v>
      </c>
    </row>
    <row r="2" spans="1:13" ht="15.5">
      <c r="A2" s="27"/>
      <c r="B2" s="27"/>
      <c r="C2" s="2"/>
      <c r="D2" s="2"/>
      <c r="E2" s="2"/>
      <c r="F2" s="2"/>
      <c r="G2" s="2"/>
      <c r="H2" s="2"/>
      <c r="I2" s="3"/>
      <c r="J2" s="3"/>
      <c r="K2" s="27"/>
      <c r="L2" s="37"/>
      <c r="M2" s="27"/>
    </row>
    <row r="3" spans="1:13" ht="15.5">
      <c r="A3" s="1">
        <f>ROW()-ROW('Absensi APR - GPN B '!$A$1)</f>
        <v>2</v>
      </c>
      <c r="B3" s="16"/>
      <c r="C3" s="2"/>
      <c r="D3" s="2"/>
      <c r="E3" s="2"/>
      <c r="F3" s="2"/>
      <c r="G3" s="2"/>
      <c r="H3" s="2"/>
      <c r="I3" s="3"/>
      <c r="J3" s="3"/>
      <c r="K3" s="8">
        <f t="shared" ref="K3:K8" si="0">COUNTA(C3:J3)</f>
        <v>0</v>
      </c>
      <c r="L3" s="1">
        <v>4</v>
      </c>
      <c r="M3" s="9">
        <f t="shared" ref="M3:M8" si="1">K3/L3</f>
        <v>0</v>
      </c>
    </row>
    <row r="4" spans="1:13" ht="15.5">
      <c r="A4" s="1">
        <f>ROW()-ROW('Absensi APR - GPN B '!$A$1)</f>
        <v>3</v>
      </c>
      <c r="B4" s="10"/>
      <c r="C4" s="39"/>
      <c r="D4" s="39"/>
      <c r="E4" s="40"/>
      <c r="F4" s="2"/>
      <c r="G4" s="2"/>
      <c r="H4" s="2"/>
      <c r="I4" s="3"/>
      <c r="J4" s="3"/>
      <c r="K4" s="8">
        <f t="shared" si="0"/>
        <v>0</v>
      </c>
      <c r="L4" s="1">
        <v>4</v>
      </c>
      <c r="M4" s="9">
        <f t="shared" si="1"/>
        <v>0</v>
      </c>
    </row>
    <row r="5" spans="1:13" ht="15.5">
      <c r="A5" s="1">
        <f>ROW()-ROW('Absensi APR - GPN B '!$A$1)</f>
        <v>4</v>
      </c>
      <c r="B5" s="4"/>
      <c r="C5" s="38"/>
      <c r="D5" s="39"/>
      <c r="E5" s="39"/>
      <c r="F5" s="2"/>
      <c r="G5" s="2"/>
      <c r="H5" s="2"/>
      <c r="I5" s="3"/>
      <c r="J5" s="3"/>
      <c r="K5" s="8">
        <f t="shared" si="0"/>
        <v>0</v>
      </c>
      <c r="L5" s="1">
        <v>4</v>
      </c>
      <c r="M5" s="9">
        <f t="shared" si="1"/>
        <v>0</v>
      </c>
    </row>
    <row r="6" spans="1:13" ht="15.5">
      <c r="A6" s="1">
        <f>ROW()-ROW('Absensi APR - GPN B '!$A$1)</f>
        <v>5</v>
      </c>
      <c r="B6" s="10"/>
      <c r="C6" s="5"/>
      <c r="D6" s="2"/>
      <c r="E6" s="2"/>
      <c r="F6" s="2"/>
      <c r="G6" s="2"/>
      <c r="H6" s="2"/>
      <c r="I6" s="3"/>
      <c r="J6" s="3"/>
      <c r="K6" s="8">
        <f t="shared" si="0"/>
        <v>0</v>
      </c>
      <c r="L6" s="1">
        <v>4</v>
      </c>
      <c r="M6" s="9">
        <f t="shared" si="1"/>
        <v>0</v>
      </c>
    </row>
    <row r="7" spans="1:13" ht="15.5">
      <c r="A7" s="1">
        <f>ROW()-ROW('Absensi APR - GPN B '!$A$1)</f>
        <v>6</v>
      </c>
      <c r="B7" s="10"/>
      <c r="C7" s="5"/>
      <c r="D7" s="2"/>
      <c r="E7" s="2"/>
      <c r="F7" s="2"/>
      <c r="G7" s="2"/>
      <c r="H7" s="2"/>
      <c r="I7" s="3"/>
      <c r="J7" s="3"/>
      <c r="K7" s="8">
        <f t="shared" si="0"/>
        <v>0</v>
      </c>
      <c r="L7" s="1">
        <v>4</v>
      </c>
      <c r="M7" s="9">
        <f t="shared" si="1"/>
        <v>0</v>
      </c>
    </row>
    <row r="8" spans="1:13" ht="15.5">
      <c r="A8" s="11">
        <f>ROW()-ROW('Absensi APR - GPN B '!$A$1)</f>
        <v>7</v>
      </c>
      <c r="B8" s="10"/>
      <c r="C8" s="5"/>
      <c r="D8" s="2"/>
      <c r="E8" s="2"/>
      <c r="F8" s="2"/>
      <c r="G8" s="2"/>
      <c r="H8" s="3"/>
      <c r="I8" s="3"/>
      <c r="J8" s="3"/>
      <c r="K8" s="8">
        <f t="shared" si="0"/>
        <v>0</v>
      </c>
      <c r="L8" s="1">
        <v>4</v>
      </c>
      <c r="M8" s="9">
        <f t="shared" si="1"/>
        <v>0</v>
      </c>
    </row>
    <row r="9" spans="1:13" ht="15.5">
      <c r="A9" s="17" t="s">
        <v>11</v>
      </c>
      <c r="B9" s="18"/>
      <c r="C9" s="18"/>
      <c r="D9" s="18"/>
      <c r="E9" s="18"/>
      <c r="F9" s="18"/>
      <c r="G9" s="18"/>
      <c r="H9" s="18"/>
      <c r="I9" s="18"/>
      <c r="J9" s="19"/>
      <c r="K9" s="8">
        <f>SUM(K3:K8)</f>
        <v>0</v>
      </c>
      <c r="L9" s="3">
        <f>SUM(L3:L8)</f>
        <v>24</v>
      </c>
      <c r="M9" s="9">
        <f>AVERAGE(M4:M8)</f>
        <v>0</v>
      </c>
    </row>
    <row r="12" spans="1:13">
      <c r="B12" s="111" t="s">
        <v>20</v>
      </c>
    </row>
    <row r="13" spans="1:13">
      <c r="B13" s="112" t="s">
        <v>18</v>
      </c>
    </row>
    <row r="14" spans="1:13">
      <c r="B14" s="113" t="s">
        <v>19</v>
      </c>
    </row>
  </sheetData>
  <mergeCells count="7">
    <mergeCell ref="L1:L2"/>
    <mergeCell ref="M1:M2"/>
    <mergeCell ref="A9:J9"/>
    <mergeCell ref="A1:A2"/>
    <mergeCell ref="B1:B2"/>
    <mergeCell ref="C1:J1"/>
    <mergeCell ref="K1:K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E6760-D8AE-4197-A803-326E53AA324C}">
  <dimension ref="A1:M13"/>
  <sheetViews>
    <sheetView workbookViewId="0">
      <selection activeCell="B11" sqref="B11:B13"/>
    </sheetView>
  </sheetViews>
  <sheetFormatPr defaultRowHeight="14.5"/>
  <sheetData>
    <row r="1" spans="1:13" ht="15.5">
      <c r="A1" s="71" t="s">
        <v>0</v>
      </c>
      <c r="B1" s="71" t="s">
        <v>1</v>
      </c>
      <c r="C1" s="72" t="s">
        <v>17</v>
      </c>
      <c r="D1" s="73"/>
      <c r="E1" s="73"/>
      <c r="F1" s="73"/>
      <c r="G1" s="73"/>
      <c r="H1" s="73"/>
      <c r="I1" s="73"/>
      <c r="J1" s="74"/>
      <c r="K1" s="75" t="s">
        <v>3</v>
      </c>
      <c r="L1" s="76" t="s">
        <v>5</v>
      </c>
      <c r="M1" s="71" t="s">
        <v>6</v>
      </c>
    </row>
    <row r="2" spans="1:13" ht="15.5">
      <c r="A2" s="77"/>
      <c r="B2" s="77"/>
      <c r="C2" s="78"/>
      <c r="D2" s="78"/>
      <c r="E2" s="78"/>
      <c r="F2" s="78"/>
      <c r="G2" s="78"/>
      <c r="H2" s="78"/>
      <c r="I2" s="79"/>
      <c r="J2" s="79"/>
      <c r="K2" s="77"/>
      <c r="L2" s="77"/>
      <c r="M2" s="77"/>
    </row>
    <row r="3" spans="1:13" ht="15.5">
      <c r="A3" s="1">
        <f>ROW()-ROW('Absensi APR - GPN B '!$A$1)</f>
        <v>2</v>
      </c>
      <c r="B3" s="16"/>
      <c r="C3" s="40"/>
      <c r="D3" s="40"/>
      <c r="E3" s="40"/>
      <c r="F3" s="2"/>
      <c r="G3" s="2"/>
      <c r="H3" s="2"/>
      <c r="I3" s="3"/>
      <c r="J3" s="3"/>
      <c r="K3" s="8">
        <f t="shared" ref="K3:K7" si="0">COUNTA(C3:J3)</f>
        <v>0</v>
      </c>
      <c r="L3" s="1">
        <v>4</v>
      </c>
      <c r="M3" s="9">
        <f t="shared" ref="M3:M7" si="1">K3/L3</f>
        <v>0</v>
      </c>
    </row>
    <row r="4" spans="1:13" ht="15.5">
      <c r="A4" s="1">
        <f>ROW()-ROW('Absensi APR - GPN B '!$A$1)</f>
        <v>3</v>
      </c>
      <c r="B4" s="41"/>
      <c r="C4" s="39"/>
      <c r="D4" s="39"/>
      <c r="E4" s="40"/>
      <c r="F4" s="2"/>
      <c r="G4" s="2"/>
      <c r="H4" s="2"/>
      <c r="I4" s="3"/>
      <c r="J4" s="3"/>
      <c r="K4" s="8">
        <f t="shared" si="0"/>
        <v>0</v>
      </c>
      <c r="L4" s="1">
        <v>4</v>
      </c>
      <c r="M4" s="9">
        <f t="shared" si="1"/>
        <v>0</v>
      </c>
    </row>
    <row r="5" spans="1:13" ht="15.5">
      <c r="A5" s="1">
        <f>ROW()-ROW('Absensi APR - GPN B '!$A$1)</f>
        <v>4</v>
      </c>
      <c r="B5" s="42"/>
      <c r="C5" s="38"/>
      <c r="D5" s="39"/>
      <c r="E5" s="39"/>
      <c r="F5" s="2"/>
      <c r="G5" s="2"/>
      <c r="H5" s="2"/>
      <c r="I5" s="3"/>
      <c r="J5" s="3"/>
      <c r="K5" s="8">
        <f t="shared" si="0"/>
        <v>0</v>
      </c>
      <c r="L5" s="1">
        <v>4</v>
      </c>
      <c r="M5" s="9">
        <f t="shared" si="1"/>
        <v>0</v>
      </c>
    </row>
    <row r="6" spans="1:13" ht="15.5">
      <c r="A6" s="1">
        <f>ROW()-ROW('Absensi APR - GPN B '!$A$1)</f>
        <v>5</v>
      </c>
      <c r="B6" s="41"/>
      <c r="C6" s="38"/>
      <c r="D6" s="40"/>
      <c r="E6" s="40"/>
      <c r="F6" s="2"/>
      <c r="G6" s="2"/>
      <c r="H6" s="2"/>
      <c r="I6" s="3"/>
      <c r="J6" s="3"/>
      <c r="K6" s="8">
        <f t="shared" si="0"/>
        <v>0</v>
      </c>
      <c r="L6" s="1">
        <v>4</v>
      </c>
      <c r="M6" s="9">
        <f t="shared" si="1"/>
        <v>0</v>
      </c>
    </row>
    <row r="7" spans="1:13" ht="15.5">
      <c r="A7" s="11">
        <f>ROW()-ROW('Absensi APR - GPN B '!$A$1)</f>
        <v>6</v>
      </c>
      <c r="B7" s="10"/>
      <c r="C7" s="5"/>
      <c r="D7" s="2"/>
      <c r="E7" s="2"/>
      <c r="F7" s="2"/>
      <c r="G7" s="2"/>
      <c r="H7" s="3"/>
      <c r="I7" s="3"/>
      <c r="J7" s="3"/>
      <c r="K7" s="8">
        <f t="shared" si="0"/>
        <v>0</v>
      </c>
      <c r="L7" s="1">
        <v>4</v>
      </c>
      <c r="M7" s="9">
        <f t="shared" si="1"/>
        <v>0</v>
      </c>
    </row>
    <row r="8" spans="1:13" ht="15.5">
      <c r="A8" s="80" t="s">
        <v>11</v>
      </c>
      <c r="B8" s="56"/>
      <c r="C8" s="56"/>
      <c r="D8" s="56"/>
      <c r="E8" s="56"/>
      <c r="F8" s="56"/>
      <c r="G8" s="56"/>
      <c r="H8" s="56"/>
      <c r="I8" s="56"/>
      <c r="J8" s="57"/>
      <c r="K8" s="81">
        <f t="shared" ref="K8:L8" si="2">SUM(K3:K7)</f>
        <v>0</v>
      </c>
      <c r="L8" s="82">
        <f t="shared" si="2"/>
        <v>20</v>
      </c>
      <c r="M8" s="83">
        <f>AVERAGE(M4:M7)</f>
        <v>0</v>
      </c>
    </row>
    <row r="11" spans="1:13">
      <c r="B11" s="111" t="s">
        <v>20</v>
      </c>
    </row>
    <row r="12" spans="1:13">
      <c r="B12" s="112" t="s">
        <v>18</v>
      </c>
    </row>
    <row r="13" spans="1:13">
      <c r="B13" s="113" t="s">
        <v>19</v>
      </c>
    </row>
  </sheetData>
  <mergeCells count="7">
    <mergeCell ref="A8:J8"/>
    <mergeCell ref="A1:A2"/>
    <mergeCell ref="B1:B2"/>
    <mergeCell ref="C1:J1"/>
    <mergeCell ref="K1:K2"/>
    <mergeCell ref="L1:L2"/>
    <mergeCell ref="M1:M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02E18-42B6-4AEA-99EC-C0A09429BFEC}">
  <dimension ref="A1:M13"/>
  <sheetViews>
    <sheetView workbookViewId="0">
      <selection activeCell="C11" sqref="C11"/>
    </sheetView>
  </sheetViews>
  <sheetFormatPr defaultRowHeight="14.5"/>
  <cols>
    <col min="2" max="2" width="14.1796875" bestFit="1" customWidth="1"/>
  </cols>
  <sheetData>
    <row r="1" spans="1:13" ht="15.5">
      <c r="A1" s="84" t="s">
        <v>0</v>
      </c>
      <c r="B1" s="84" t="s">
        <v>1</v>
      </c>
      <c r="C1" s="85" t="s">
        <v>17</v>
      </c>
      <c r="D1" s="86"/>
      <c r="E1" s="86"/>
      <c r="F1" s="86"/>
      <c r="G1" s="86"/>
      <c r="H1" s="86"/>
      <c r="I1" s="86"/>
      <c r="J1" s="87"/>
      <c r="K1" s="88" t="s">
        <v>3</v>
      </c>
      <c r="L1" s="89" t="s">
        <v>5</v>
      </c>
      <c r="M1" s="84" t="s">
        <v>6</v>
      </c>
    </row>
    <row r="2" spans="1:13" ht="15.5">
      <c r="A2" s="90"/>
      <c r="B2" s="90"/>
      <c r="C2" s="91"/>
      <c r="D2" s="91"/>
      <c r="E2" s="91"/>
      <c r="F2" s="91"/>
      <c r="G2" s="91"/>
      <c r="H2" s="91"/>
      <c r="I2" s="92"/>
      <c r="J2" s="92"/>
      <c r="K2" s="90"/>
      <c r="L2" s="90"/>
      <c r="M2" s="90"/>
    </row>
    <row r="3" spans="1:13" ht="15.5">
      <c r="A3" s="1">
        <f>ROW()-ROW('Absensi APR - GPN B '!$A$1)</f>
        <v>2</v>
      </c>
      <c r="B3" s="16"/>
      <c r="C3" s="40"/>
      <c r="D3" s="40"/>
      <c r="E3" s="40"/>
      <c r="F3" s="2"/>
      <c r="G3" s="2"/>
      <c r="H3" s="2"/>
      <c r="I3" s="3"/>
      <c r="J3" s="3"/>
      <c r="K3" s="8">
        <f t="shared" ref="K3:K7" si="0">COUNTA(C3:J3)</f>
        <v>0</v>
      </c>
      <c r="L3" s="1">
        <v>4</v>
      </c>
      <c r="M3" s="9">
        <f t="shared" ref="M3:M7" si="1">K3/L3</f>
        <v>0</v>
      </c>
    </row>
    <row r="4" spans="1:13" ht="15.5">
      <c r="A4" s="1">
        <f>ROW()-ROW('Absensi APR - GPN B '!$A$1)</f>
        <v>3</v>
      </c>
      <c r="B4" s="41"/>
      <c r="C4" s="39"/>
      <c r="D4" s="39"/>
      <c r="E4" s="40"/>
      <c r="F4" s="2"/>
      <c r="G4" s="2"/>
      <c r="H4" s="2"/>
      <c r="I4" s="3"/>
      <c r="J4" s="3"/>
      <c r="K4" s="8">
        <f t="shared" si="0"/>
        <v>0</v>
      </c>
      <c r="L4" s="1">
        <v>4</v>
      </c>
      <c r="M4" s="9">
        <f t="shared" si="1"/>
        <v>0</v>
      </c>
    </row>
    <row r="5" spans="1:13" ht="15.5">
      <c r="A5" s="1">
        <f>ROW()-ROW('Absensi APR - GPN B '!$A$1)</f>
        <v>4</v>
      </c>
      <c r="B5" s="42"/>
      <c r="C5" s="38"/>
      <c r="D5" s="39"/>
      <c r="E5" s="39"/>
      <c r="F5" s="2"/>
      <c r="G5" s="2"/>
      <c r="H5" s="2"/>
      <c r="I5" s="3"/>
      <c r="J5" s="3"/>
      <c r="K5" s="8">
        <f t="shared" si="0"/>
        <v>0</v>
      </c>
      <c r="L5" s="1">
        <v>4</v>
      </c>
      <c r="M5" s="9">
        <f t="shared" si="1"/>
        <v>0</v>
      </c>
    </row>
    <row r="6" spans="1:13" ht="15.5">
      <c r="A6" s="1">
        <f>ROW()-ROW('Absensi APR - GPN B '!$A$1)</f>
        <v>5</v>
      </c>
      <c r="B6" s="41"/>
      <c r="C6" s="38"/>
      <c r="D6" s="40"/>
      <c r="E6" s="40"/>
      <c r="F6" s="2"/>
      <c r="G6" s="2"/>
      <c r="H6" s="2"/>
      <c r="I6" s="3"/>
      <c r="J6" s="3"/>
      <c r="K6" s="8">
        <f t="shared" si="0"/>
        <v>0</v>
      </c>
      <c r="L6" s="1">
        <v>4</v>
      </c>
      <c r="M6" s="9">
        <f t="shared" si="1"/>
        <v>0</v>
      </c>
    </row>
    <row r="7" spans="1:13" ht="15.5">
      <c r="A7" s="11">
        <f>ROW()-ROW('Absensi APR - GPN B '!$A$1)</f>
        <v>6</v>
      </c>
      <c r="B7" s="10"/>
      <c r="C7" s="5"/>
      <c r="D7" s="2"/>
      <c r="E7" s="2"/>
      <c r="F7" s="2"/>
      <c r="G7" s="2"/>
      <c r="H7" s="3"/>
      <c r="I7" s="3"/>
      <c r="J7" s="3"/>
      <c r="K7" s="8">
        <f t="shared" si="0"/>
        <v>0</v>
      </c>
      <c r="L7" s="1">
        <v>4</v>
      </c>
      <c r="M7" s="9">
        <f t="shared" si="1"/>
        <v>0</v>
      </c>
    </row>
    <row r="8" spans="1:13" ht="15.5">
      <c r="A8" s="93" t="s">
        <v>11</v>
      </c>
      <c r="B8" s="94"/>
      <c r="C8" s="94"/>
      <c r="D8" s="94"/>
      <c r="E8" s="94"/>
      <c r="F8" s="94"/>
      <c r="G8" s="94"/>
      <c r="H8" s="94"/>
      <c r="I8" s="94"/>
      <c r="J8" s="95"/>
      <c r="K8" s="96">
        <f t="shared" ref="K8:L8" si="2">SUM(K3:K7)</f>
        <v>0</v>
      </c>
      <c r="L8" s="97">
        <f t="shared" si="2"/>
        <v>20</v>
      </c>
      <c r="M8" s="98">
        <f>AVERAGE(M4:M7)</f>
        <v>0</v>
      </c>
    </row>
    <row r="11" spans="1:13">
      <c r="B11" s="111" t="s">
        <v>20</v>
      </c>
    </row>
    <row r="12" spans="1:13">
      <c r="B12" s="112" t="s">
        <v>18</v>
      </c>
    </row>
    <row r="13" spans="1:13">
      <c r="B13" s="113" t="s">
        <v>19</v>
      </c>
    </row>
  </sheetData>
  <mergeCells count="7">
    <mergeCell ref="A8:J8"/>
    <mergeCell ref="A1:A2"/>
    <mergeCell ref="B1:B2"/>
    <mergeCell ref="C1:J1"/>
    <mergeCell ref="K1:K2"/>
    <mergeCell ref="L1:L2"/>
    <mergeCell ref="M1:M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C82A1-A58B-400A-8943-66670353E037}">
  <dimension ref="A1:M13"/>
  <sheetViews>
    <sheetView tabSelected="1" workbookViewId="0">
      <selection activeCell="E14" sqref="E14"/>
    </sheetView>
  </sheetViews>
  <sheetFormatPr defaultRowHeight="14.5"/>
  <sheetData>
    <row r="1" spans="1:13" ht="15.5">
      <c r="A1" s="99" t="s">
        <v>0</v>
      </c>
      <c r="B1" s="99" t="s">
        <v>1</v>
      </c>
      <c r="C1" s="100" t="s">
        <v>17</v>
      </c>
      <c r="D1" s="101"/>
      <c r="E1" s="101"/>
      <c r="F1" s="101"/>
      <c r="G1" s="101"/>
      <c r="H1" s="101"/>
      <c r="I1" s="101"/>
      <c r="J1" s="102"/>
      <c r="K1" s="103" t="s">
        <v>3</v>
      </c>
      <c r="L1" s="104" t="s">
        <v>5</v>
      </c>
      <c r="M1" s="99" t="s">
        <v>6</v>
      </c>
    </row>
    <row r="2" spans="1:13" ht="15.5">
      <c r="A2" s="105"/>
      <c r="B2" s="105"/>
      <c r="C2" s="106"/>
      <c r="D2" s="106"/>
      <c r="E2" s="106"/>
      <c r="F2" s="106"/>
      <c r="G2" s="106"/>
      <c r="H2" s="106"/>
      <c r="I2" s="107"/>
      <c r="J2" s="107"/>
      <c r="K2" s="105"/>
      <c r="L2" s="105"/>
      <c r="M2" s="105"/>
    </row>
    <row r="3" spans="1:13" ht="15.5">
      <c r="A3" s="1">
        <f>ROW()-ROW('Absensi APR - GPN B '!$A$1)</f>
        <v>2</v>
      </c>
      <c r="B3" s="16"/>
      <c r="C3" s="40"/>
      <c r="D3" s="40"/>
      <c r="E3" s="40"/>
      <c r="F3" s="2"/>
      <c r="G3" s="2"/>
      <c r="H3" s="2"/>
      <c r="I3" s="3"/>
      <c r="J3" s="3"/>
      <c r="K3" s="8">
        <f t="shared" ref="K3:K7" si="0">COUNTA(C3:J3)</f>
        <v>0</v>
      </c>
      <c r="L3" s="1">
        <v>4</v>
      </c>
      <c r="M3" s="9">
        <f t="shared" ref="M3:M7" si="1">K3/L3</f>
        <v>0</v>
      </c>
    </row>
    <row r="4" spans="1:13" ht="15.5">
      <c r="A4" s="1">
        <f>ROW()-ROW('Absensi APR - GPN B '!$A$1)</f>
        <v>3</v>
      </c>
      <c r="B4" s="41"/>
      <c r="C4" s="39"/>
      <c r="D4" s="39"/>
      <c r="E4" s="40"/>
      <c r="F4" s="2"/>
      <c r="G4" s="2"/>
      <c r="H4" s="2"/>
      <c r="I4" s="3"/>
      <c r="J4" s="3"/>
      <c r="K4" s="8">
        <f t="shared" si="0"/>
        <v>0</v>
      </c>
      <c r="L4" s="1">
        <v>4</v>
      </c>
      <c r="M4" s="9">
        <f t="shared" si="1"/>
        <v>0</v>
      </c>
    </row>
    <row r="5" spans="1:13" ht="15.5">
      <c r="A5" s="1">
        <f>ROW()-ROW('Absensi APR - GPN B '!$A$1)</f>
        <v>4</v>
      </c>
      <c r="B5" s="42"/>
      <c r="C5" s="38"/>
      <c r="D5" s="39"/>
      <c r="E5" s="39"/>
      <c r="F5" s="2"/>
      <c r="G5" s="2"/>
      <c r="H5" s="2"/>
      <c r="I5" s="3"/>
      <c r="J5" s="3"/>
      <c r="K5" s="8">
        <f t="shared" si="0"/>
        <v>0</v>
      </c>
      <c r="L5" s="1">
        <v>4</v>
      </c>
      <c r="M5" s="9">
        <f t="shared" si="1"/>
        <v>0</v>
      </c>
    </row>
    <row r="6" spans="1:13" ht="15.5">
      <c r="A6" s="1">
        <f>ROW()-ROW('Absensi APR - GPN B '!$A$1)</f>
        <v>5</v>
      </c>
      <c r="B6" s="41"/>
      <c r="C6" s="38"/>
      <c r="D6" s="40"/>
      <c r="E6" s="40"/>
      <c r="F6" s="2"/>
      <c r="G6" s="2"/>
      <c r="H6" s="2"/>
      <c r="I6" s="3"/>
      <c r="J6" s="3"/>
      <c r="K6" s="8">
        <f t="shared" si="0"/>
        <v>0</v>
      </c>
      <c r="L6" s="1">
        <v>4</v>
      </c>
      <c r="M6" s="9">
        <f t="shared" si="1"/>
        <v>0</v>
      </c>
    </row>
    <row r="7" spans="1:13" ht="15.5">
      <c r="A7" s="11">
        <f>ROW()-ROW('Absensi APR - GPN B '!$A$1)</f>
        <v>6</v>
      </c>
      <c r="B7" s="10"/>
      <c r="C7" s="5"/>
      <c r="D7" s="2"/>
      <c r="E7" s="2"/>
      <c r="F7" s="2"/>
      <c r="G7" s="2"/>
      <c r="H7" s="3"/>
      <c r="I7" s="3"/>
      <c r="J7" s="3"/>
      <c r="K7" s="8">
        <f t="shared" si="0"/>
        <v>0</v>
      </c>
      <c r="L7" s="1">
        <v>4</v>
      </c>
      <c r="M7" s="9">
        <f t="shared" si="1"/>
        <v>0</v>
      </c>
    </row>
    <row r="8" spans="1:13" ht="15.5">
      <c r="A8" s="108" t="s">
        <v>11</v>
      </c>
      <c r="B8" s="101"/>
      <c r="C8" s="101"/>
      <c r="D8" s="101"/>
      <c r="E8" s="101"/>
      <c r="F8" s="101"/>
      <c r="G8" s="101"/>
      <c r="H8" s="101"/>
      <c r="I8" s="101"/>
      <c r="J8" s="102"/>
      <c r="K8" s="109">
        <f t="shared" ref="K8:L8" si="2">SUM(K3:K7)</f>
        <v>0</v>
      </c>
      <c r="L8" s="107">
        <f t="shared" si="2"/>
        <v>20</v>
      </c>
      <c r="M8" s="110">
        <f>AVERAGE(M4:M7)</f>
        <v>0</v>
      </c>
    </row>
    <row r="11" spans="1:13">
      <c r="B11" s="111" t="s">
        <v>20</v>
      </c>
    </row>
    <row r="12" spans="1:13">
      <c r="B12" s="112" t="s">
        <v>18</v>
      </c>
    </row>
    <row r="13" spans="1:13">
      <c r="B13" s="113" t="s">
        <v>19</v>
      </c>
    </row>
  </sheetData>
  <mergeCells count="7">
    <mergeCell ref="A8:J8"/>
    <mergeCell ref="A1:A2"/>
    <mergeCell ref="B1:B2"/>
    <mergeCell ref="C1:J1"/>
    <mergeCell ref="K1:K2"/>
    <mergeCell ref="L1:L2"/>
    <mergeCell ref="M1:M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Absensi APR - GPN B </vt:lpstr>
      <vt:lpstr>Absensi AR Intensif</vt:lpstr>
      <vt:lpstr>Absensi ACR</vt:lpstr>
      <vt:lpstr>Pengajian Desa</vt:lpstr>
      <vt:lpstr>Pengajian Daerah</vt:lpstr>
      <vt:lpstr>Absen Generus Baru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Farhan Abdillah</dc:creator>
  <cp:lastModifiedBy>admin</cp:lastModifiedBy>
  <dcterms:created xsi:type="dcterms:W3CDTF">2023-04-01T05:22:16Z</dcterms:created>
  <dcterms:modified xsi:type="dcterms:W3CDTF">2026-07-31T02:38:47Z</dcterms:modified>
</cp:coreProperties>
</file>